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بيانات المهام" sheetId="1" state="visible" r:id="rId1"/>
    <sheet xmlns:r="http://schemas.openxmlformats.org/officeDocument/2006/relationships" name="لوحة المؤشرات" sheetId="2" state="visible" r:id="rId2"/>
  </sheets>
  <definedNames>
    <definedName name="_xlnm._FilterDatabase" localSheetId="0" hidden="1">'بيانات المهام'!$A$1:$H$176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IBM Plex Sans Arabic"/>
      <b val="1"/>
      <color rgb="00FFFFFF"/>
      <sz val="11"/>
    </font>
    <font>
      <name val="IBM Plex Sans Arabic"/>
      <sz val="10.5"/>
    </font>
    <font>
      <name val="IBM Plex Sans Arabic"/>
      <b val="1"/>
      <color rgb="000E2E2A"/>
      <sz val="18"/>
    </font>
    <font>
      <name val="IBM Plex Sans Arabic"/>
      <color rgb="006E7D78"/>
      <sz val="10.5"/>
    </font>
    <font>
      <name val="IBM Plex Sans Arabic"/>
      <color rgb="006E7D78"/>
      <sz val="10"/>
    </font>
    <font>
      <name val="IBM Plex Sans Arabic"/>
      <b val="1"/>
      <color rgb="002A7A69"/>
      <sz val="22"/>
    </font>
    <font>
      <name val="IBM Plex Sans Arabic"/>
      <b val="1"/>
      <color rgb="000E2E2A"/>
      <sz val="13"/>
    </font>
    <font>
      <name val="IBM Plex Sans Arabic"/>
      <b val="1"/>
      <color rgb="00FFFFFF"/>
      <sz val="10.5"/>
    </font>
    <font>
      <name val="IBM Plex Sans Arabic"/>
      <sz val="10"/>
    </font>
    <font>
      <name val="IBM Plex Sans Arabic"/>
      <color rgb="006E7D78"/>
      <sz val="9.5"/>
    </font>
  </fonts>
  <fills count="5">
    <fill>
      <patternFill/>
    </fill>
    <fill>
      <patternFill patternType="gray125"/>
    </fill>
    <fill>
      <patternFill patternType="solid">
        <fgColor rgb="000E2E2A"/>
      </patternFill>
    </fill>
    <fill>
      <patternFill patternType="solid">
        <fgColor rgb="00F7FAF8"/>
      </patternFill>
    </fill>
    <fill>
      <patternFill patternType="solid">
        <fgColor rgb="002A7A69"/>
      </patternFill>
    </fill>
  </fills>
  <borders count="2">
    <border>
      <left/>
      <right/>
      <top/>
      <bottom/>
      <diagonal/>
    </border>
    <border>
      <bottom style="thin">
        <color rgb="00E4E9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0" fillId="3" borderId="0" pivotButton="0" quotePrefix="0" xfId="0"/>
    <xf numFmtId="1" fontId="6" fillId="3" borderId="0" applyAlignment="1" pivotButton="0" quotePrefix="0" xfId="0">
      <alignment horizontal="center"/>
    </xf>
    <xf numFmtId="9" fontId="6" fillId="3" borderId="0" applyAlignment="1" pivotButton="0" quotePrefix="0" xfId="0">
      <alignment horizontal="center"/>
    </xf>
    <xf numFmtId="0" fontId="7" fillId="0" borderId="0" pivotButton="0" quotePrefix="0" xfId="0"/>
    <xf numFmtId="0" fontId="8" fillId="4" borderId="0" applyAlignment="1" pivotButton="0" quotePrefix="0" xfId="0">
      <alignment horizontal="center"/>
    </xf>
    <xf numFmtId="0" fontId="9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dxfs count="3">
    <dxf>
      <font>
        <name val="IBM Plex Sans Arabic"/>
        <b val="1"/>
        <color rgb="009A3030"/>
      </font>
      <fill>
        <patternFill patternType="solid">
          <fgColor rgb="00FBE8E8"/>
        </patternFill>
      </fill>
    </dxf>
    <dxf>
      <font>
        <name val="IBM Plex Sans Arabic"/>
        <color rgb="0017654C"/>
      </font>
      <fill>
        <patternFill patternType="solid">
          <fgColor rgb="00E4F3EC"/>
        </patternFill>
      </fill>
    </dxf>
    <dxf>
      <font>
        <name val="IBM Plex Sans Arabic"/>
        <color rgb="008A5A14"/>
      </font>
      <fill>
        <patternFill patternType="solid">
          <fgColor rgb="00FCF0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المهام المكتملة شهريًا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'لوحة المؤشرات'!D19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'لوحة المؤشرات'!$B$20:$B$31</f>
            </numRef>
          </cat>
          <val>
            <numRef>
              <f>'لوحة المؤشرات'!$D$20:$D$31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الحالات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'لوحة المؤشرات'!$K$10:$K$12</f>
            </numRef>
          </cat>
          <val>
            <numRef>
              <f>'لوحة المؤشرات'!$L$10:$L$12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18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</row>
      <rowOff>0</rowOff>
    </from>
    <ext cx="36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6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 ht="26" customHeight="1">
      <c r="A1" s="1" t="inlineStr">
        <is>
          <t>الرقم</t>
        </is>
      </c>
      <c r="B1" s="1" t="inlineStr">
        <is>
          <t>الإدارة</t>
        </is>
      </c>
      <c r="C1" s="1" t="inlineStr">
        <is>
          <t>الموظف</t>
        </is>
      </c>
      <c r="D1" s="1" t="inlineStr">
        <is>
          <t>المهمة</t>
        </is>
      </c>
      <c r="E1" s="1" t="inlineStr">
        <is>
          <t>الشهر</t>
        </is>
      </c>
      <c r="F1" s="1" t="inlineStr">
        <is>
          <t>تاريخ الاستحقاق</t>
        </is>
      </c>
      <c r="G1" s="1" t="inlineStr">
        <is>
          <t>الحالة</t>
        </is>
      </c>
      <c r="H1" s="1" t="inlineStr">
        <is>
          <t>نسبة الإنجاز</t>
        </is>
      </c>
    </row>
    <row r="2">
      <c r="A2" s="2" t="inlineStr">
        <is>
          <t>TSK-0001</t>
        </is>
      </c>
      <c r="B2" s="2" t="inlineStr">
        <is>
          <t>الشؤون التنفيذية</t>
        </is>
      </c>
      <c r="C2" s="2" t="inlineStr">
        <is>
          <t>موظف تجريبي أ</t>
        </is>
      </c>
      <c r="D2" s="2" t="inlineStr">
        <is>
          <t>إعداد عرض تقديمي</t>
        </is>
      </c>
      <c r="E2" s="2" t="inlineStr">
        <is>
          <t>يناير</t>
        </is>
      </c>
      <c r="F2" s="3" t="n">
        <v>46401</v>
      </c>
      <c r="G2" s="2" t="inlineStr">
        <is>
          <t>قيد التنفيذ</t>
        </is>
      </c>
      <c r="H2" s="4" t="n">
        <v>0.25</v>
      </c>
    </row>
    <row r="3">
      <c r="A3" s="2" t="inlineStr">
        <is>
          <t>TSK-0002</t>
        </is>
      </c>
      <c r="B3" s="2" t="inlineStr">
        <is>
          <t>الشؤون التنفيذية</t>
        </is>
      </c>
      <c r="C3" s="2" t="inlineStr">
        <is>
          <t>موظف تجريبي ب</t>
        </is>
      </c>
      <c r="D3" s="2" t="inlineStr">
        <is>
          <t>تحديث قائمة جهات الاتصال</t>
        </is>
      </c>
      <c r="E3" s="2" t="inlineStr">
        <is>
          <t>يناير</t>
        </is>
      </c>
      <c r="F3" s="3" t="n">
        <v>46396</v>
      </c>
      <c r="G3" s="2" t="inlineStr">
        <is>
          <t>متأخر</t>
        </is>
      </c>
      <c r="H3" s="4" t="n">
        <v>0.1</v>
      </c>
    </row>
    <row r="4">
      <c r="A4" s="2" t="inlineStr">
        <is>
          <t>TSK-0003</t>
        </is>
      </c>
      <c r="B4" s="2" t="inlineStr">
        <is>
          <t>العمليات</t>
        </is>
      </c>
      <c r="C4" s="2" t="inlineStr">
        <is>
          <t>موظف تجريبي ج</t>
        </is>
      </c>
      <c r="D4" s="2" t="inlineStr">
        <is>
          <t>إعداد تقرير شهري</t>
        </is>
      </c>
      <c r="E4" s="2" t="inlineStr">
        <is>
          <t>يناير</t>
        </is>
      </c>
      <c r="F4" s="3" t="n">
        <v>46406</v>
      </c>
      <c r="G4" s="2" t="inlineStr">
        <is>
          <t>مكتمل</t>
        </is>
      </c>
      <c r="H4" s="4" t="n">
        <v>1</v>
      </c>
    </row>
    <row r="5">
      <c r="A5" s="2" t="inlineStr">
        <is>
          <t>TSK-0004</t>
        </is>
      </c>
      <c r="B5" s="2" t="inlineStr">
        <is>
          <t>العمليات</t>
        </is>
      </c>
      <c r="C5" s="2" t="inlineStr">
        <is>
          <t>موظف تجريبي ج</t>
        </is>
      </c>
      <c r="D5" s="2" t="inlineStr">
        <is>
          <t>مراجعة محضر اجتماع</t>
        </is>
      </c>
      <c r="E5" s="2" t="inlineStr">
        <is>
          <t>يناير</t>
        </is>
      </c>
      <c r="F5" s="3" t="n">
        <v>46406</v>
      </c>
      <c r="G5" s="2" t="inlineStr">
        <is>
          <t>مكتمل</t>
        </is>
      </c>
      <c r="H5" s="4" t="n">
        <v>1</v>
      </c>
    </row>
    <row r="6">
      <c r="A6" s="2" t="inlineStr">
        <is>
          <t>TSK-0005</t>
        </is>
      </c>
      <c r="B6" s="2" t="inlineStr">
        <is>
          <t>العمليات</t>
        </is>
      </c>
      <c r="C6" s="2" t="inlineStr">
        <is>
          <t>موظف تجريبي د</t>
        </is>
      </c>
      <c r="D6" s="2" t="inlineStr">
        <is>
          <t>مراجعة مسودة إجراء</t>
        </is>
      </c>
      <c r="E6" s="2" t="inlineStr">
        <is>
          <t>يناير</t>
        </is>
      </c>
      <c r="F6" s="3" t="n">
        <v>46409</v>
      </c>
      <c r="G6" s="2" t="inlineStr">
        <is>
          <t>مكتمل</t>
        </is>
      </c>
      <c r="H6" s="4" t="n">
        <v>1</v>
      </c>
    </row>
    <row r="7">
      <c r="A7" s="2" t="inlineStr">
        <is>
          <t>TSK-0006</t>
        </is>
      </c>
      <c r="B7" s="2" t="inlineStr">
        <is>
          <t>العمليات</t>
        </is>
      </c>
      <c r="C7" s="2" t="inlineStr">
        <is>
          <t>موظف تجريبي د</t>
        </is>
      </c>
      <c r="D7" s="2" t="inlineStr">
        <is>
          <t>متابعة طلب شراء</t>
        </is>
      </c>
      <c r="E7" s="2" t="inlineStr">
        <is>
          <t>يناير</t>
        </is>
      </c>
      <c r="F7" s="3" t="n">
        <v>46399</v>
      </c>
      <c r="G7" s="2" t="inlineStr">
        <is>
          <t>مكتمل</t>
        </is>
      </c>
      <c r="H7" s="4" t="n">
        <v>1</v>
      </c>
    </row>
    <row r="8">
      <c r="A8" s="2" t="inlineStr">
        <is>
          <t>TSK-0007</t>
        </is>
      </c>
      <c r="B8" s="2" t="inlineStr">
        <is>
          <t>العمليات</t>
        </is>
      </c>
      <c r="C8" s="2" t="inlineStr">
        <is>
          <t>موظف تجريبي هـ</t>
        </is>
      </c>
      <c r="D8" s="2" t="inlineStr">
        <is>
          <t>مراجعة مسودة إجراء</t>
        </is>
      </c>
      <c r="E8" s="2" t="inlineStr">
        <is>
          <t>يناير</t>
        </is>
      </c>
      <c r="F8" s="3" t="n">
        <v>46411</v>
      </c>
      <c r="G8" s="2" t="inlineStr">
        <is>
          <t>مكتمل</t>
        </is>
      </c>
      <c r="H8" s="4" t="n">
        <v>1</v>
      </c>
    </row>
    <row r="9">
      <c r="A9" s="2" t="inlineStr">
        <is>
          <t>TSK-0008</t>
        </is>
      </c>
      <c r="B9" s="2" t="inlineStr">
        <is>
          <t>العمليات</t>
        </is>
      </c>
      <c r="C9" s="2" t="inlineStr">
        <is>
          <t>موظف تجريبي هـ</t>
        </is>
      </c>
      <c r="D9" s="2" t="inlineStr">
        <is>
          <t>مراجعة محضر اجتماع</t>
        </is>
      </c>
      <c r="E9" s="2" t="inlineStr">
        <is>
          <t>يناير</t>
        </is>
      </c>
      <c r="F9" s="3" t="n">
        <v>46411</v>
      </c>
      <c r="G9" s="2" t="inlineStr">
        <is>
          <t>قيد التنفيذ</t>
        </is>
      </c>
      <c r="H9" s="4" t="n">
        <v>0.85</v>
      </c>
    </row>
    <row r="10">
      <c r="A10" s="2" t="inlineStr">
        <is>
          <t>TSK-0009</t>
        </is>
      </c>
      <c r="B10" s="2" t="inlineStr">
        <is>
          <t>الاتصال المؤسسي</t>
        </is>
      </c>
      <c r="C10" s="2" t="inlineStr">
        <is>
          <t>موظف تجريبي و</t>
        </is>
      </c>
      <c r="D10" s="2" t="inlineStr">
        <is>
          <t>تجهيز مواد اجتماع</t>
        </is>
      </c>
      <c r="E10" s="2" t="inlineStr">
        <is>
          <t>يناير</t>
        </is>
      </c>
      <c r="F10" s="3" t="n">
        <v>46414</v>
      </c>
      <c r="G10" s="2" t="inlineStr">
        <is>
          <t>متأخر</t>
        </is>
      </c>
      <c r="H10" s="4" t="n">
        <v>0.5</v>
      </c>
    </row>
    <row r="11">
      <c r="A11" s="2" t="inlineStr">
        <is>
          <t>TSK-0010</t>
        </is>
      </c>
      <c r="B11" s="2" t="inlineStr">
        <is>
          <t>الاتصال المؤسسي</t>
        </is>
      </c>
      <c r="C11" s="2" t="inlineStr">
        <is>
          <t>موظف تجريبي ز</t>
        </is>
      </c>
      <c r="D11" s="2" t="inlineStr">
        <is>
          <t>إعداد ملخص تنفيذي</t>
        </is>
      </c>
      <c r="E11" s="2" t="inlineStr">
        <is>
          <t>يناير</t>
        </is>
      </c>
      <c r="F11" s="3" t="n">
        <v>46414</v>
      </c>
      <c r="G11" s="2" t="inlineStr">
        <is>
          <t>مكتمل</t>
        </is>
      </c>
      <c r="H11" s="4" t="n">
        <v>1</v>
      </c>
    </row>
    <row r="12">
      <c r="A12" s="2" t="inlineStr">
        <is>
          <t>TSK-0011</t>
        </is>
      </c>
      <c r="B12" s="2" t="inlineStr">
        <is>
          <t>المشتريات</t>
        </is>
      </c>
      <c r="C12" s="2" t="inlineStr">
        <is>
          <t>موظف تجريبي ح</t>
        </is>
      </c>
      <c r="D12" s="2" t="inlineStr">
        <is>
          <t>تحديث خطة التدريب</t>
        </is>
      </c>
      <c r="E12" s="2" t="inlineStr">
        <is>
          <t>يناير</t>
        </is>
      </c>
      <c r="F12" s="3" t="n">
        <v>46396</v>
      </c>
      <c r="G12" s="2" t="inlineStr">
        <is>
          <t>مكتمل</t>
        </is>
      </c>
      <c r="H12" s="4" t="n">
        <v>1</v>
      </c>
    </row>
    <row r="13">
      <c r="A13" s="2" t="inlineStr">
        <is>
          <t>TSK-0012</t>
        </is>
      </c>
      <c r="B13" s="2" t="inlineStr">
        <is>
          <t>المشتريات</t>
        </is>
      </c>
      <c r="C13" s="2" t="inlineStr">
        <is>
          <t>موظف تجريبي ط</t>
        </is>
      </c>
      <c r="D13" s="2" t="inlineStr">
        <is>
          <t>إعداد تقرير شهري</t>
        </is>
      </c>
      <c r="E13" s="2" t="inlineStr">
        <is>
          <t>يناير</t>
        </is>
      </c>
      <c r="F13" s="3" t="n">
        <v>46398</v>
      </c>
      <c r="G13" s="2" t="inlineStr">
        <is>
          <t>مكتمل</t>
        </is>
      </c>
      <c r="H13" s="4" t="n">
        <v>1</v>
      </c>
    </row>
    <row r="14">
      <c r="A14" s="2" t="inlineStr">
        <is>
          <t>TSK-0013</t>
        </is>
      </c>
      <c r="B14" s="2" t="inlineStr">
        <is>
          <t>الموارد البشرية</t>
        </is>
      </c>
      <c r="C14" s="2" t="inlineStr">
        <is>
          <t>موظف تجريبي ي</t>
        </is>
      </c>
      <c r="D14" s="2" t="inlineStr">
        <is>
          <t>متابعة طلب شراء</t>
        </is>
      </c>
      <c r="E14" s="2" t="inlineStr">
        <is>
          <t>يناير</t>
        </is>
      </c>
      <c r="F14" s="3" t="n">
        <v>46406</v>
      </c>
      <c r="G14" s="2" t="inlineStr">
        <is>
          <t>مكتمل</t>
        </is>
      </c>
      <c r="H14" s="4" t="n">
        <v>1</v>
      </c>
    </row>
    <row r="15">
      <c r="A15" s="2" t="inlineStr">
        <is>
          <t>TSK-0014</t>
        </is>
      </c>
      <c r="B15" s="2" t="inlineStr">
        <is>
          <t>الموارد البشرية</t>
        </is>
      </c>
      <c r="C15" s="2" t="inlineStr">
        <is>
          <t>موظف تجريبي ي</t>
        </is>
      </c>
      <c r="D15" s="2" t="inlineStr">
        <is>
          <t>تحديث مصفوفة الصلاحيات</t>
        </is>
      </c>
      <c r="E15" s="2" t="inlineStr">
        <is>
          <t>يناير</t>
        </is>
      </c>
      <c r="F15" s="3" t="n">
        <v>46401</v>
      </c>
      <c r="G15" s="2" t="inlineStr">
        <is>
          <t>مكتمل</t>
        </is>
      </c>
      <c r="H15" s="4" t="n">
        <v>1</v>
      </c>
    </row>
    <row r="16">
      <c r="A16" s="2" t="inlineStr">
        <is>
          <t>TSK-0015</t>
        </is>
      </c>
      <c r="B16" s="2" t="inlineStr">
        <is>
          <t>الموارد البشرية</t>
        </is>
      </c>
      <c r="C16" s="2" t="inlineStr">
        <is>
          <t>موظف تجريبي ك</t>
        </is>
      </c>
      <c r="D16" s="2" t="inlineStr">
        <is>
          <t>تحديث خطة التدريب</t>
        </is>
      </c>
      <c r="E16" s="2" t="inlineStr">
        <is>
          <t>يناير</t>
        </is>
      </c>
      <c r="F16" s="3" t="n">
        <v>46404</v>
      </c>
      <c r="G16" s="2" t="inlineStr">
        <is>
          <t>مكتمل</t>
        </is>
      </c>
      <c r="H16" s="4" t="n">
        <v>1</v>
      </c>
    </row>
    <row r="17">
      <c r="A17" s="2" t="inlineStr">
        <is>
          <t>TSK-0016</t>
        </is>
      </c>
      <c r="B17" s="2" t="inlineStr">
        <is>
          <t>الشؤون التنفيذية</t>
        </is>
      </c>
      <c r="C17" s="2" t="inlineStr">
        <is>
          <t>موظف تجريبي أ</t>
        </is>
      </c>
      <c r="D17" s="2" t="inlineStr">
        <is>
          <t>تحديث مصفوفة الصلاحيات</t>
        </is>
      </c>
      <c r="E17" s="2" t="inlineStr">
        <is>
          <t>فبراير</t>
        </is>
      </c>
      <c r="F17" s="3" t="n">
        <v>46422</v>
      </c>
      <c r="G17" s="2" t="inlineStr">
        <is>
          <t>قيد التنفيذ</t>
        </is>
      </c>
      <c r="H17" s="4" t="n">
        <v>0.25</v>
      </c>
    </row>
    <row r="18">
      <c r="A18" s="2" t="inlineStr">
        <is>
          <t>TSK-0017</t>
        </is>
      </c>
      <c r="B18" s="2" t="inlineStr">
        <is>
          <t>الشؤون التنفيذية</t>
        </is>
      </c>
      <c r="C18" s="2" t="inlineStr">
        <is>
          <t>موظف تجريبي أ</t>
        </is>
      </c>
      <c r="D18" s="2" t="inlineStr">
        <is>
          <t>مراجعة محضر اجتماع</t>
        </is>
      </c>
      <c r="E18" s="2" t="inlineStr">
        <is>
          <t>فبراير</t>
        </is>
      </c>
      <c r="F18" s="3" t="n">
        <v>46441</v>
      </c>
      <c r="G18" s="2" t="inlineStr">
        <is>
          <t>قيد التنفيذ</t>
        </is>
      </c>
      <c r="H18" s="4" t="n">
        <v>0.7</v>
      </c>
    </row>
    <row r="19">
      <c r="A19" s="2" t="inlineStr">
        <is>
          <t>TSK-0018</t>
        </is>
      </c>
      <c r="B19" s="2" t="inlineStr">
        <is>
          <t>الشؤون التنفيذية</t>
        </is>
      </c>
      <c r="C19" s="2" t="inlineStr">
        <is>
          <t>موظف تجريبي ب</t>
        </is>
      </c>
      <c r="D19" s="2" t="inlineStr">
        <is>
          <t>أرشفة المراسلات</t>
        </is>
      </c>
      <c r="E19" s="2" t="inlineStr">
        <is>
          <t>فبراير</t>
        </is>
      </c>
      <c r="F19" s="3" t="n">
        <v>46441</v>
      </c>
      <c r="G19" s="2" t="inlineStr">
        <is>
          <t>قيد التنفيذ</t>
        </is>
      </c>
      <c r="H19" s="4" t="n">
        <v>0.55</v>
      </c>
    </row>
    <row r="20">
      <c r="A20" s="2" t="inlineStr">
        <is>
          <t>TSK-0019</t>
        </is>
      </c>
      <c r="B20" s="2" t="inlineStr">
        <is>
          <t>العمليات</t>
        </is>
      </c>
      <c r="C20" s="2" t="inlineStr">
        <is>
          <t>موظف تجريبي ج</t>
        </is>
      </c>
      <c r="D20" s="2" t="inlineStr">
        <is>
          <t>تجهيز مواد اجتماع</t>
        </is>
      </c>
      <c r="E20" s="2" t="inlineStr">
        <is>
          <t>فبراير</t>
        </is>
      </c>
      <c r="F20" s="3" t="n">
        <v>46445</v>
      </c>
      <c r="G20" s="2" t="inlineStr">
        <is>
          <t>قيد التنفيذ</t>
        </is>
      </c>
      <c r="H20" s="4" t="n">
        <v>0.55</v>
      </c>
    </row>
    <row r="21">
      <c r="A21" s="2" t="inlineStr">
        <is>
          <t>TSK-0020</t>
        </is>
      </c>
      <c r="B21" s="2" t="inlineStr">
        <is>
          <t>العمليات</t>
        </is>
      </c>
      <c r="C21" s="2" t="inlineStr">
        <is>
          <t>موظف تجريبي د</t>
        </is>
      </c>
      <c r="D21" s="2" t="inlineStr">
        <is>
          <t>مراجعة مسودة إجراء</t>
        </is>
      </c>
      <c r="E21" s="2" t="inlineStr">
        <is>
          <t>فبراير</t>
        </is>
      </c>
      <c r="F21" s="3" t="n">
        <v>46437</v>
      </c>
      <c r="G21" s="2" t="inlineStr">
        <is>
          <t>قيد التنفيذ</t>
        </is>
      </c>
      <c r="H21" s="4" t="n">
        <v>0.55</v>
      </c>
    </row>
    <row r="22">
      <c r="A22" s="2" t="inlineStr">
        <is>
          <t>TSK-0021</t>
        </is>
      </c>
      <c r="B22" s="2" t="inlineStr">
        <is>
          <t>العمليات</t>
        </is>
      </c>
      <c r="C22" s="2" t="inlineStr">
        <is>
          <t>موظف تجريبي د</t>
        </is>
      </c>
      <c r="D22" s="2" t="inlineStr">
        <is>
          <t>مراجعة محضر اجتماع</t>
        </is>
      </c>
      <c r="E22" s="2" t="inlineStr">
        <is>
          <t>فبراير</t>
        </is>
      </c>
      <c r="F22" s="3" t="n">
        <v>46424</v>
      </c>
      <c r="G22" s="2" t="inlineStr">
        <is>
          <t>قيد التنفيذ</t>
        </is>
      </c>
      <c r="H22" s="4" t="n">
        <v>0.7</v>
      </c>
    </row>
    <row r="23">
      <c r="A23" s="2" t="inlineStr">
        <is>
          <t>TSK-0022</t>
        </is>
      </c>
      <c r="B23" s="2" t="inlineStr">
        <is>
          <t>العمليات</t>
        </is>
      </c>
      <c r="C23" s="2" t="inlineStr">
        <is>
          <t>موظف تجريبي هـ</t>
        </is>
      </c>
      <c r="D23" s="2" t="inlineStr">
        <is>
          <t>إعداد تقرير شهري</t>
        </is>
      </c>
      <c r="E23" s="2" t="inlineStr">
        <is>
          <t>فبراير</t>
        </is>
      </c>
      <c r="F23" s="3" t="n">
        <v>46441</v>
      </c>
      <c r="G23" s="2" t="inlineStr">
        <is>
          <t>قيد التنفيذ</t>
        </is>
      </c>
      <c r="H23" s="4" t="n">
        <v>0.7</v>
      </c>
    </row>
    <row r="24">
      <c r="A24" s="2" t="inlineStr">
        <is>
          <t>TSK-0023</t>
        </is>
      </c>
      <c r="B24" s="2" t="inlineStr">
        <is>
          <t>العمليات</t>
        </is>
      </c>
      <c r="C24" s="2" t="inlineStr">
        <is>
          <t>موظف تجريبي هـ</t>
        </is>
      </c>
      <c r="D24" s="2" t="inlineStr">
        <is>
          <t>مراجعة مسودة إجراء</t>
        </is>
      </c>
      <c r="E24" s="2" t="inlineStr">
        <is>
          <t>فبراير</t>
        </is>
      </c>
      <c r="F24" s="3" t="n">
        <v>46439</v>
      </c>
      <c r="G24" s="2" t="inlineStr">
        <is>
          <t>مكتمل</t>
        </is>
      </c>
      <c r="H24" s="4" t="n">
        <v>1</v>
      </c>
    </row>
    <row r="25">
      <c r="A25" s="2" t="inlineStr">
        <is>
          <t>TSK-0024</t>
        </is>
      </c>
      <c r="B25" s="2" t="inlineStr">
        <is>
          <t>الاتصال المؤسسي</t>
        </is>
      </c>
      <c r="C25" s="2" t="inlineStr">
        <is>
          <t>موظف تجريبي و</t>
        </is>
      </c>
      <c r="D25" s="2" t="inlineStr">
        <is>
          <t>مراجعة محضر اجتماع</t>
        </is>
      </c>
      <c r="E25" s="2" t="inlineStr">
        <is>
          <t>فبراير</t>
        </is>
      </c>
      <c r="F25" s="3" t="n">
        <v>46443</v>
      </c>
      <c r="G25" s="2" t="inlineStr">
        <is>
          <t>قيد التنفيذ</t>
        </is>
      </c>
      <c r="H25" s="4" t="n">
        <v>0.25</v>
      </c>
    </row>
    <row r="26">
      <c r="A26" s="2" t="inlineStr">
        <is>
          <t>TSK-0025</t>
        </is>
      </c>
      <c r="B26" s="2" t="inlineStr">
        <is>
          <t>الاتصال المؤسسي</t>
        </is>
      </c>
      <c r="C26" s="2" t="inlineStr">
        <is>
          <t>موظف تجريبي ز</t>
        </is>
      </c>
      <c r="D26" s="2" t="inlineStr">
        <is>
          <t>مراجعة مسودة إجراء</t>
        </is>
      </c>
      <c r="E26" s="2" t="inlineStr">
        <is>
          <t>فبراير</t>
        </is>
      </c>
      <c r="F26" s="3" t="n">
        <v>46434</v>
      </c>
      <c r="G26" s="2" t="inlineStr">
        <is>
          <t>مكتمل</t>
        </is>
      </c>
      <c r="H26" s="4" t="n">
        <v>1</v>
      </c>
    </row>
    <row r="27">
      <c r="A27" s="2" t="inlineStr">
        <is>
          <t>TSK-0026</t>
        </is>
      </c>
      <c r="B27" s="2" t="inlineStr">
        <is>
          <t>الاتصال المؤسسي</t>
        </is>
      </c>
      <c r="C27" s="2" t="inlineStr">
        <is>
          <t>موظف تجريبي ز</t>
        </is>
      </c>
      <c r="D27" s="2" t="inlineStr">
        <is>
          <t>متابعة طلب شراء</t>
        </is>
      </c>
      <c r="E27" s="2" t="inlineStr">
        <is>
          <t>فبراير</t>
        </is>
      </c>
      <c r="F27" s="3" t="n">
        <v>46435</v>
      </c>
      <c r="G27" s="2" t="inlineStr">
        <is>
          <t>متأخر</t>
        </is>
      </c>
      <c r="H27" s="4" t="n">
        <v>0.1</v>
      </c>
    </row>
    <row r="28">
      <c r="A28" s="2" t="inlineStr">
        <is>
          <t>TSK-0027</t>
        </is>
      </c>
      <c r="B28" s="2" t="inlineStr">
        <is>
          <t>المشتريات</t>
        </is>
      </c>
      <c r="C28" s="2" t="inlineStr">
        <is>
          <t>موظف تجريبي ح</t>
        </is>
      </c>
      <c r="D28" s="2" t="inlineStr">
        <is>
          <t>أرشفة المراسلات</t>
        </is>
      </c>
      <c r="E28" s="2" t="inlineStr">
        <is>
          <t>فبراير</t>
        </is>
      </c>
      <c r="F28" s="3" t="n">
        <v>46443</v>
      </c>
      <c r="G28" s="2" t="inlineStr">
        <is>
          <t>مكتمل</t>
        </is>
      </c>
      <c r="H28" s="4" t="n">
        <v>1</v>
      </c>
    </row>
    <row r="29">
      <c r="A29" s="2" t="inlineStr">
        <is>
          <t>TSK-0028</t>
        </is>
      </c>
      <c r="B29" s="2" t="inlineStr">
        <is>
          <t>المشتريات</t>
        </is>
      </c>
      <c r="C29" s="2" t="inlineStr">
        <is>
          <t>موظف تجريبي ط</t>
        </is>
      </c>
      <c r="D29" s="2" t="inlineStr">
        <is>
          <t>تحديث مصفوفة الصلاحيات</t>
        </is>
      </c>
      <c r="E29" s="2" t="inlineStr">
        <is>
          <t>فبراير</t>
        </is>
      </c>
      <c r="F29" s="3" t="n">
        <v>46431</v>
      </c>
      <c r="G29" s="2" t="inlineStr">
        <is>
          <t>قيد التنفيذ</t>
        </is>
      </c>
      <c r="H29" s="4" t="n">
        <v>0.4</v>
      </c>
    </row>
    <row r="30">
      <c r="A30" s="2" t="inlineStr">
        <is>
          <t>TSK-0029</t>
        </is>
      </c>
      <c r="B30" s="2" t="inlineStr">
        <is>
          <t>الموارد البشرية</t>
        </is>
      </c>
      <c r="C30" s="2" t="inlineStr">
        <is>
          <t>موظف تجريبي ي</t>
        </is>
      </c>
      <c r="D30" s="2" t="inlineStr">
        <is>
          <t>أرشفة المراسلات</t>
        </is>
      </c>
      <c r="E30" s="2" t="inlineStr">
        <is>
          <t>فبراير</t>
        </is>
      </c>
      <c r="F30" s="3" t="n">
        <v>46429</v>
      </c>
      <c r="G30" s="2" t="inlineStr">
        <is>
          <t>قيد التنفيذ</t>
        </is>
      </c>
      <c r="H30" s="4" t="n">
        <v>0.55</v>
      </c>
    </row>
    <row r="31">
      <c r="A31" s="2" t="inlineStr">
        <is>
          <t>TSK-0030</t>
        </is>
      </c>
      <c r="B31" s="2" t="inlineStr">
        <is>
          <t>الموارد البشرية</t>
        </is>
      </c>
      <c r="C31" s="2" t="inlineStr">
        <is>
          <t>موظف تجريبي ي</t>
        </is>
      </c>
      <c r="D31" s="2" t="inlineStr">
        <is>
          <t>مراجعة مسودة إجراء</t>
        </is>
      </c>
      <c r="E31" s="2" t="inlineStr">
        <is>
          <t>فبراير</t>
        </is>
      </c>
      <c r="F31" s="3" t="n">
        <v>46427</v>
      </c>
      <c r="G31" s="2" t="inlineStr">
        <is>
          <t>مكتمل</t>
        </is>
      </c>
      <c r="H31" s="4" t="n">
        <v>1</v>
      </c>
    </row>
    <row r="32">
      <c r="A32" s="2" t="inlineStr">
        <is>
          <t>TSK-0031</t>
        </is>
      </c>
      <c r="B32" s="2" t="inlineStr">
        <is>
          <t>الموارد البشرية</t>
        </is>
      </c>
      <c r="C32" s="2" t="inlineStr">
        <is>
          <t>موظف تجريبي ك</t>
        </is>
      </c>
      <c r="D32" s="2" t="inlineStr">
        <is>
          <t>تحديث قائمة جهات الاتصال</t>
        </is>
      </c>
      <c r="E32" s="2" t="inlineStr">
        <is>
          <t>فبراير</t>
        </is>
      </c>
      <c r="F32" s="3" t="n">
        <v>46443</v>
      </c>
      <c r="G32" s="2" t="inlineStr">
        <is>
          <t>مكتمل</t>
        </is>
      </c>
      <c r="H32" s="4" t="n">
        <v>1</v>
      </c>
    </row>
    <row r="33">
      <c r="A33" s="2" t="inlineStr">
        <is>
          <t>TSK-0032</t>
        </is>
      </c>
      <c r="B33" s="2" t="inlineStr">
        <is>
          <t>الشؤون التنفيذية</t>
        </is>
      </c>
      <c r="C33" s="2" t="inlineStr">
        <is>
          <t>موظف تجريبي أ</t>
        </is>
      </c>
      <c r="D33" s="2" t="inlineStr">
        <is>
          <t>تحديث سجل المتابعة</t>
        </is>
      </c>
      <c r="E33" s="2" t="inlineStr">
        <is>
          <t>مارس</t>
        </is>
      </c>
      <c r="F33" s="3" t="n">
        <v>46450</v>
      </c>
      <c r="G33" s="2" t="inlineStr">
        <is>
          <t>قيد التنفيذ</t>
        </is>
      </c>
      <c r="H33" s="4" t="n">
        <v>0.4</v>
      </c>
    </row>
    <row r="34">
      <c r="A34" s="2" t="inlineStr">
        <is>
          <t>TSK-0033</t>
        </is>
      </c>
      <c r="B34" s="2" t="inlineStr">
        <is>
          <t>الشؤون التنفيذية</t>
        </is>
      </c>
      <c r="C34" s="2" t="inlineStr">
        <is>
          <t>موظف تجريبي ب</t>
        </is>
      </c>
      <c r="D34" s="2" t="inlineStr">
        <is>
          <t>متابعة طلب شراء</t>
        </is>
      </c>
      <c r="E34" s="2" t="inlineStr">
        <is>
          <t>مارس</t>
        </is>
      </c>
      <c r="F34" s="3" t="n">
        <v>46471</v>
      </c>
      <c r="G34" s="2" t="inlineStr">
        <is>
          <t>مكتمل</t>
        </is>
      </c>
      <c r="H34" s="4" t="n">
        <v>1</v>
      </c>
    </row>
    <row r="35">
      <c r="A35" s="2" t="inlineStr">
        <is>
          <t>TSK-0034</t>
        </is>
      </c>
      <c r="B35" s="2" t="inlineStr">
        <is>
          <t>الشؤون التنفيذية</t>
        </is>
      </c>
      <c r="C35" s="2" t="inlineStr">
        <is>
          <t>موظف تجريبي ب</t>
        </is>
      </c>
      <c r="D35" s="2" t="inlineStr">
        <is>
          <t>متابعة طلب شراء</t>
        </is>
      </c>
      <c r="E35" s="2" t="inlineStr">
        <is>
          <t>مارس</t>
        </is>
      </c>
      <c r="F35" s="3" t="n">
        <v>46473</v>
      </c>
      <c r="G35" s="2" t="inlineStr">
        <is>
          <t>مكتمل</t>
        </is>
      </c>
      <c r="H35" s="4" t="n">
        <v>1</v>
      </c>
    </row>
    <row r="36">
      <c r="A36" s="2" t="inlineStr">
        <is>
          <t>TSK-0035</t>
        </is>
      </c>
      <c r="B36" s="2" t="inlineStr">
        <is>
          <t>العمليات</t>
        </is>
      </c>
      <c r="C36" s="2" t="inlineStr">
        <is>
          <t>موظف تجريبي ج</t>
        </is>
      </c>
      <c r="D36" s="2" t="inlineStr">
        <is>
          <t>إعداد ملخص تنفيذي</t>
        </is>
      </c>
      <c r="E36" s="2" t="inlineStr">
        <is>
          <t>مارس</t>
        </is>
      </c>
      <c r="F36" s="3" t="n">
        <v>46454</v>
      </c>
      <c r="G36" s="2" t="inlineStr">
        <is>
          <t>مكتمل</t>
        </is>
      </c>
      <c r="H36" s="4" t="n">
        <v>1</v>
      </c>
    </row>
    <row r="37">
      <c r="A37" s="2" t="inlineStr">
        <is>
          <t>TSK-0036</t>
        </is>
      </c>
      <c r="B37" s="2" t="inlineStr">
        <is>
          <t>العمليات</t>
        </is>
      </c>
      <c r="C37" s="2" t="inlineStr">
        <is>
          <t>موظف تجريبي د</t>
        </is>
      </c>
      <c r="D37" s="2" t="inlineStr">
        <is>
          <t>تحديث قائمة جهات الاتصال</t>
        </is>
      </c>
      <c r="E37" s="2" t="inlineStr">
        <is>
          <t>مارس</t>
        </is>
      </c>
      <c r="F37" s="3" t="n">
        <v>46463</v>
      </c>
      <c r="G37" s="2" t="inlineStr">
        <is>
          <t>مكتمل</t>
        </is>
      </c>
      <c r="H37" s="4" t="n">
        <v>1</v>
      </c>
    </row>
    <row r="38">
      <c r="A38" s="2" t="inlineStr">
        <is>
          <t>TSK-0037</t>
        </is>
      </c>
      <c r="B38" s="2" t="inlineStr">
        <is>
          <t>العمليات</t>
        </is>
      </c>
      <c r="C38" s="2" t="inlineStr">
        <is>
          <t>موظف تجريبي هـ</t>
        </is>
      </c>
      <c r="D38" s="2" t="inlineStr">
        <is>
          <t>تحديث مصفوفة الصلاحيات</t>
        </is>
      </c>
      <c r="E38" s="2" t="inlineStr">
        <is>
          <t>مارس</t>
        </is>
      </c>
      <c r="F38" s="3" t="n">
        <v>46471</v>
      </c>
      <c r="G38" s="2" t="inlineStr">
        <is>
          <t>متأخر</t>
        </is>
      </c>
      <c r="H38" s="4" t="n">
        <v>0.2</v>
      </c>
    </row>
    <row r="39">
      <c r="A39" s="2" t="inlineStr">
        <is>
          <t>TSK-0038</t>
        </is>
      </c>
      <c r="B39" s="2" t="inlineStr">
        <is>
          <t>العمليات</t>
        </is>
      </c>
      <c r="C39" s="2" t="inlineStr">
        <is>
          <t>موظف تجريبي هـ</t>
        </is>
      </c>
      <c r="D39" s="2" t="inlineStr">
        <is>
          <t>إعداد عرض تقديمي</t>
        </is>
      </c>
      <c r="E39" s="2" t="inlineStr">
        <is>
          <t>مارس</t>
        </is>
      </c>
      <c r="F39" s="3" t="n">
        <v>46473</v>
      </c>
      <c r="G39" s="2" t="inlineStr">
        <is>
          <t>مكتمل</t>
        </is>
      </c>
      <c r="H39" s="4" t="n">
        <v>1</v>
      </c>
    </row>
    <row r="40">
      <c r="A40" s="2" t="inlineStr">
        <is>
          <t>TSK-0039</t>
        </is>
      </c>
      <c r="B40" s="2" t="inlineStr">
        <is>
          <t>الاتصال المؤسسي</t>
        </is>
      </c>
      <c r="C40" s="2" t="inlineStr">
        <is>
          <t>موظف تجريبي و</t>
        </is>
      </c>
      <c r="D40" s="2" t="inlineStr">
        <is>
          <t>تحديث قائمة جهات الاتصال</t>
        </is>
      </c>
      <c r="E40" s="2" t="inlineStr">
        <is>
          <t>مارس</t>
        </is>
      </c>
      <c r="F40" s="3" t="n">
        <v>46449</v>
      </c>
      <c r="G40" s="2" t="inlineStr">
        <is>
          <t>مكتمل</t>
        </is>
      </c>
      <c r="H40" s="4" t="n">
        <v>1</v>
      </c>
    </row>
    <row r="41">
      <c r="A41" s="2" t="inlineStr">
        <is>
          <t>TSK-0040</t>
        </is>
      </c>
      <c r="B41" s="2" t="inlineStr">
        <is>
          <t>الاتصال المؤسسي</t>
        </is>
      </c>
      <c r="C41" s="2" t="inlineStr">
        <is>
          <t>موظف تجريبي ز</t>
        </is>
      </c>
      <c r="D41" s="2" t="inlineStr">
        <is>
          <t>تحديث سجل المتابعة</t>
        </is>
      </c>
      <c r="E41" s="2" t="inlineStr">
        <is>
          <t>مارس</t>
        </is>
      </c>
      <c r="F41" s="3" t="n">
        <v>46466</v>
      </c>
      <c r="G41" s="2" t="inlineStr">
        <is>
          <t>مكتمل</t>
        </is>
      </c>
      <c r="H41" s="4" t="n">
        <v>1</v>
      </c>
    </row>
    <row r="42">
      <c r="A42" s="2" t="inlineStr">
        <is>
          <t>TSK-0041</t>
        </is>
      </c>
      <c r="B42" s="2" t="inlineStr">
        <is>
          <t>الاتصال المؤسسي</t>
        </is>
      </c>
      <c r="C42" s="2" t="inlineStr">
        <is>
          <t>موظف تجريبي ز</t>
        </is>
      </c>
      <c r="D42" s="2" t="inlineStr">
        <is>
          <t>تحديث قائمة جهات الاتصال</t>
        </is>
      </c>
      <c r="E42" s="2" t="inlineStr">
        <is>
          <t>مارس</t>
        </is>
      </c>
      <c r="F42" s="3" t="n">
        <v>46450</v>
      </c>
      <c r="G42" s="2" t="inlineStr">
        <is>
          <t>مكتمل</t>
        </is>
      </c>
      <c r="H42" s="4" t="n">
        <v>1</v>
      </c>
    </row>
    <row r="43">
      <c r="A43" s="2" t="inlineStr">
        <is>
          <t>TSK-0042</t>
        </is>
      </c>
      <c r="B43" s="2" t="inlineStr">
        <is>
          <t>المشتريات</t>
        </is>
      </c>
      <c r="C43" s="2" t="inlineStr">
        <is>
          <t>موظف تجريبي ح</t>
        </is>
      </c>
      <c r="D43" s="2" t="inlineStr">
        <is>
          <t>إعداد تقرير شهري</t>
        </is>
      </c>
      <c r="E43" s="2" t="inlineStr">
        <is>
          <t>مارس</t>
        </is>
      </c>
      <c r="F43" s="3" t="n">
        <v>46458</v>
      </c>
      <c r="G43" s="2" t="inlineStr">
        <is>
          <t>مكتمل</t>
        </is>
      </c>
      <c r="H43" s="4" t="n">
        <v>1</v>
      </c>
    </row>
    <row r="44">
      <c r="A44" s="2" t="inlineStr">
        <is>
          <t>TSK-0043</t>
        </is>
      </c>
      <c r="B44" s="2" t="inlineStr">
        <is>
          <t>المشتريات</t>
        </is>
      </c>
      <c r="C44" s="2" t="inlineStr">
        <is>
          <t>موظف تجريبي ح</t>
        </is>
      </c>
      <c r="D44" s="2" t="inlineStr">
        <is>
          <t>مراجعة محضر اجتماع</t>
        </is>
      </c>
      <c r="E44" s="2" t="inlineStr">
        <is>
          <t>مارس</t>
        </is>
      </c>
      <c r="F44" s="3" t="n">
        <v>46468</v>
      </c>
      <c r="G44" s="2" t="inlineStr">
        <is>
          <t>مكتمل</t>
        </is>
      </c>
      <c r="H44" s="4" t="n">
        <v>1</v>
      </c>
    </row>
    <row r="45">
      <c r="A45" s="2" t="inlineStr">
        <is>
          <t>TSK-0044</t>
        </is>
      </c>
      <c r="B45" s="2" t="inlineStr">
        <is>
          <t>المشتريات</t>
        </is>
      </c>
      <c r="C45" s="2" t="inlineStr">
        <is>
          <t>موظف تجريبي ط</t>
        </is>
      </c>
      <c r="D45" s="2" t="inlineStr">
        <is>
          <t>أرشفة المراسلات</t>
        </is>
      </c>
      <c r="E45" s="2" t="inlineStr">
        <is>
          <t>مارس</t>
        </is>
      </c>
      <c r="F45" s="3" t="n">
        <v>46466</v>
      </c>
      <c r="G45" s="2" t="inlineStr">
        <is>
          <t>مكتمل</t>
        </is>
      </c>
      <c r="H45" s="4" t="n">
        <v>1</v>
      </c>
    </row>
    <row r="46">
      <c r="A46" s="2" t="inlineStr">
        <is>
          <t>TSK-0045</t>
        </is>
      </c>
      <c r="B46" s="2" t="inlineStr">
        <is>
          <t>المشتريات</t>
        </is>
      </c>
      <c r="C46" s="2" t="inlineStr">
        <is>
          <t>موظف تجريبي ط</t>
        </is>
      </c>
      <c r="D46" s="2" t="inlineStr">
        <is>
          <t>إعداد عرض تقديمي</t>
        </is>
      </c>
      <c r="E46" s="2" t="inlineStr">
        <is>
          <t>مارس</t>
        </is>
      </c>
      <c r="F46" s="3" t="n">
        <v>46466</v>
      </c>
      <c r="G46" s="2" t="inlineStr">
        <is>
          <t>قيد التنفيذ</t>
        </is>
      </c>
      <c r="H46" s="4" t="n">
        <v>0.85</v>
      </c>
    </row>
    <row r="47">
      <c r="A47" s="2" t="inlineStr">
        <is>
          <t>TSK-0046</t>
        </is>
      </c>
      <c r="B47" s="2" t="inlineStr">
        <is>
          <t>الموارد البشرية</t>
        </is>
      </c>
      <c r="C47" s="2" t="inlineStr">
        <is>
          <t>موظف تجريبي ي</t>
        </is>
      </c>
      <c r="D47" s="2" t="inlineStr">
        <is>
          <t>مراجعة مسودة إجراء</t>
        </is>
      </c>
      <c r="E47" s="2" t="inlineStr">
        <is>
          <t>مارس</t>
        </is>
      </c>
      <c r="F47" s="3" t="n">
        <v>46461</v>
      </c>
      <c r="G47" s="2" t="inlineStr">
        <is>
          <t>مكتمل</t>
        </is>
      </c>
      <c r="H47" s="4" t="n">
        <v>1</v>
      </c>
    </row>
    <row r="48">
      <c r="A48" s="2" t="inlineStr">
        <is>
          <t>TSK-0047</t>
        </is>
      </c>
      <c r="B48" s="2" t="inlineStr">
        <is>
          <t>الموارد البشرية</t>
        </is>
      </c>
      <c r="C48" s="2" t="inlineStr">
        <is>
          <t>موظف تجريبي ي</t>
        </is>
      </c>
      <c r="D48" s="2" t="inlineStr">
        <is>
          <t>تحديث خطة التدريب</t>
        </is>
      </c>
      <c r="E48" s="2" t="inlineStr">
        <is>
          <t>مارس</t>
        </is>
      </c>
      <c r="F48" s="3" t="n">
        <v>46459</v>
      </c>
      <c r="G48" s="2" t="inlineStr">
        <is>
          <t>قيد التنفيذ</t>
        </is>
      </c>
      <c r="H48" s="4" t="n">
        <v>0.85</v>
      </c>
    </row>
    <row r="49">
      <c r="A49" s="2" t="inlineStr">
        <is>
          <t>TSK-0048</t>
        </is>
      </c>
      <c r="B49" s="2" t="inlineStr">
        <is>
          <t>الموارد البشرية</t>
        </is>
      </c>
      <c r="C49" s="2" t="inlineStr">
        <is>
          <t>موظف تجريبي ك</t>
        </is>
      </c>
      <c r="D49" s="2" t="inlineStr">
        <is>
          <t>إعداد عرض تقديمي</t>
        </is>
      </c>
      <c r="E49" s="2" t="inlineStr">
        <is>
          <t>مارس</t>
        </is>
      </c>
      <c r="F49" s="3" t="n">
        <v>46470</v>
      </c>
      <c r="G49" s="2" t="inlineStr">
        <is>
          <t>مكتمل</t>
        </is>
      </c>
      <c r="H49" s="4" t="n">
        <v>1</v>
      </c>
    </row>
    <row r="50">
      <c r="A50" s="2" t="inlineStr">
        <is>
          <t>TSK-0049</t>
        </is>
      </c>
      <c r="B50" s="2" t="inlineStr">
        <is>
          <t>الشؤون التنفيذية</t>
        </is>
      </c>
      <c r="C50" s="2" t="inlineStr">
        <is>
          <t>موظف تجريبي أ</t>
        </is>
      </c>
      <c r="D50" s="2" t="inlineStr">
        <is>
          <t>إعداد تقرير شهري</t>
        </is>
      </c>
      <c r="E50" s="2" t="inlineStr">
        <is>
          <t>أبريل</t>
        </is>
      </c>
      <c r="F50" s="3" t="n">
        <v>46491</v>
      </c>
      <c r="G50" s="2" t="inlineStr">
        <is>
          <t>قيد التنفيذ</t>
        </is>
      </c>
      <c r="H50" s="4" t="n">
        <v>0.85</v>
      </c>
    </row>
    <row r="51">
      <c r="A51" s="2" t="inlineStr">
        <is>
          <t>TSK-0050</t>
        </is>
      </c>
      <c r="B51" s="2" t="inlineStr">
        <is>
          <t>الشؤون التنفيذية</t>
        </is>
      </c>
      <c r="C51" s="2" t="inlineStr">
        <is>
          <t>موظف تجريبي ب</t>
        </is>
      </c>
      <c r="D51" s="2" t="inlineStr">
        <is>
          <t>تجهيز مواد اجتماع</t>
        </is>
      </c>
      <c r="E51" s="2" t="inlineStr">
        <is>
          <t>أبريل</t>
        </is>
      </c>
      <c r="F51" s="3" t="n">
        <v>46493</v>
      </c>
      <c r="G51" s="2" t="inlineStr">
        <is>
          <t>مكتمل</t>
        </is>
      </c>
      <c r="H51" s="4" t="n">
        <v>1</v>
      </c>
    </row>
    <row r="52">
      <c r="A52" s="2" t="inlineStr">
        <is>
          <t>TSK-0051</t>
        </is>
      </c>
      <c r="B52" s="2" t="inlineStr">
        <is>
          <t>العمليات</t>
        </is>
      </c>
      <c r="C52" s="2" t="inlineStr">
        <is>
          <t>موظف تجريبي ج</t>
        </is>
      </c>
      <c r="D52" s="2" t="inlineStr">
        <is>
          <t>أرشفة المراسلات</t>
        </is>
      </c>
      <c r="E52" s="2" t="inlineStr">
        <is>
          <t>أبريل</t>
        </is>
      </c>
      <c r="F52" s="3" t="n">
        <v>46494</v>
      </c>
      <c r="G52" s="2" t="inlineStr">
        <is>
          <t>مكتمل</t>
        </is>
      </c>
      <c r="H52" s="4" t="n">
        <v>1</v>
      </c>
    </row>
    <row r="53">
      <c r="A53" s="2" t="inlineStr">
        <is>
          <t>TSK-0052</t>
        </is>
      </c>
      <c r="B53" s="2" t="inlineStr">
        <is>
          <t>العمليات</t>
        </is>
      </c>
      <c r="C53" s="2" t="inlineStr">
        <is>
          <t>موظف تجريبي د</t>
        </is>
      </c>
      <c r="D53" s="2" t="inlineStr">
        <is>
          <t>تجهيز مواد اجتماع</t>
        </is>
      </c>
      <c r="E53" s="2" t="inlineStr">
        <is>
          <t>أبريل</t>
        </is>
      </c>
      <c r="F53" s="3" t="n">
        <v>46483</v>
      </c>
      <c r="G53" s="2" t="inlineStr">
        <is>
          <t>مكتمل</t>
        </is>
      </c>
      <c r="H53" s="4" t="n">
        <v>1</v>
      </c>
    </row>
    <row r="54">
      <c r="A54" s="2" t="inlineStr">
        <is>
          <t>TSK-0053</t>
        </is>
      </c>
      <c r="B54" s="2" t="inlineStr">
        <is>
          <t>العمليات</t>
        </is>
      </c>
      <c r="C54" s="2" t="inlineStr">
        <is>
          <t>موظف تجريبي د</t>
        </is>
      </c>
      <c r="D54" s="2" t="inlineStr">
        <is>
          <t>تجهيز مواد اجتماع</t>
        </is>
      </c>
      <c r="E54" s="2" t="inlineStr">
        <is>
          <t>أبريل</t>
        </is>
      </c>
      <c r="F54" s="3" t="n">
        <v>46483</v>
      </c>
      <c r="G54" s="2" t="inlineStr">
        <is>
          <t>مكتمل</t>
        </is>
      </c>
      <c r="H54" s="4" t="n">
        <v>1</v>
      </c>
    </row>
    <row r="55">
      <c r="A55" s="2" t="inlineStr">
        <is>
          <t>TSK-0054</t>
        </is>
      </c>
      <c r="B55" s="2" t="inlineStr">
        <is>
          <t>العمليات</t>
        </is>
      </c>
      <c r="C55" s="2" t="inlineStr">
        <is>
          <t>موظف تجريبي هـ</t>
        </is>
      </c>
      <c r="D55" s="2" t="inlineStr">
        <is>
          <t>متابعة طلب شراء</t>
        </is>
      </c>
      <c r="E55" s="2" t="inlineStr">
        <is>
          <t>أبريل</t>
        </is>
      </c>
      <c r="F55" s="3" t="n">
        <v>46503</v>
      </c>
      <c r="G55" s="2" t="inlineStr">
        <is>
          <t>مكتمل</t>
        </is>
      </c>
      <c r="H55" s="4" t="n">
        <v>1</v>
      </c>
    </row>
    <row r="56">
      <c r="A56" s="2" t="inlineStr">
        <is>
          <t>TSK-0055</t>
        </is>
      </c>
      <c r="B56" s="2" t="inlineStr">
        <is>
          <t>الاتصال المؤسسي</t>
        </is>
      </c>
      <c r="C56" s="2" t="inlineStr">
        <is>
          <t>موظف تجريبي و</t>
        </is>
      </c>
      <c r="D56" s="2" t="inlineStr">
        <is>
          <t>إعداد تقرير شهري</t>
        </is>
      </c>
      <c r="E56" s="2" t="inlineStr">
        <is>
          <t>أبريل</t>
        </is>
      </c>
      <c r="F56" s="3" t="n">
        <v>46482</v>
      </c>
      <c r="G56" s="2" t="inlineStr">
        <is>
          <t>قيد التنفيذ</t>
        </is>
      </c>
      <c r="H56" s="4" t="n">
        <v>0.4</v>
      </c>
    </row>
    <row r="57">
      <c r="A57" s="2" t="inlineStr">
        <is>
          <t>TSK-0056</t>
        </is>
      </c>
      <c r="B57" s="2" t="inlineStr">
        <is>
          <t>الاتصال المؤسسي</t>
        </is>
      </c>
      <c r="C57" s="2" t="inlineStr">
        <is>
          <t>موظف تجريبي ز</t>
        </is>
      </c>
      <c r="D57" s="2" t="inlineStr">
        <is>
          <t>مراجعة محضر اجتماع</t>
        </is>
      </c>
      <c r="E57" s="2" t="inlineStr">
        <is>
          <t>أبريل</t>
        </is>
      </c>
      <c r="F57" s="3" t="n">
        <v>46499</v>
      </c>
      <c r="G57" s="2" t="inlineStr">
        <is>
          <t>متأخر</t>
        </is>
      </c>
      <c r="H57" s="4" t="n">
        <v>0.2</v>
      </c>
    </row>
    <row r="58">
      <c r="A58" s="2" t="inlineStr">
        <is>
          <t>TSK-0057</t>
        </is>
      </c>
      <c r="B58" s="2" t="inlineStr">
        <is>
          <t>الاتصال المؤسسي</t>
        </is>
      </c>
      <c r="C58" s="2" t="inlineStr">
        <is>
          <t>موظف تجريبي ز</t>
        </is>
      </c>
      <c r="D58" s="2" t="inlineStr">
        <is>
          <t>تحديث سجل المتابعة</t>
        </is>
      </c>
      <c r="E58" s="2" t="inlineStr">
        <is>
          <t>أبريل</t>
        </is>
      </c>
      <c r="F58" s="3" t="n">
        <v>46495</v>
      </c>
      <c r="G58" s="2" t="inlineStr">
        <is>
          <t>قيد التنفيذ</t>
        </is>
      </c>
      <c r="H58" s="4" t="n">
        <v>0.7</v>
      </c>
    </row>
    <row r="59">
      <c r="A59" s="2" t="inlineStr">
        <is>
          <t>TSK-0058</t>
        </is>
      </c>
      <c r="B59" s="2" t="inlineStr">
        <is>
          <t>المشتريات</t>
        </is>
      </c>
      <c r="C59" s="2" t="inlineStr">
        <is>
          <t>موظف تجريبي ح</t>
        </is>
      </c>
      <c r="D59" s="2" t="inlineStr">
        <is>
          <t>تحديث قائمة جهات الاتصال</t>
        </is>
      </c>
      <c r="E59" s="2" t="inlineStr">
        <is>
          <t>أبريل</t>
        </is>
      </c>
      <c r="F59" s="3" t="n">
        <v>46492</v>
      </c>
      <c r="G59" s="2" t="inlineStr">
        <is>
          <t>مكتمل</t>
        </is>
      </c>
      <c r="H59" s="4" t="n">
        <v>1</v>
      </c>
    </row>
    <row r="60">
      <c r="A60" s="2" t="inlineStr">
        <is>
          <t>TSK-0059</t>
        </is>
      </c>
      <c r="B60" s="2" t="inlineStr">
        <is>
          <t>المشتريات</t>
        </is>
      </c>
      <c r="C60" s="2" t="inlineStr">
        <is>
          <t>موظف تجريبي ط</t>
        </is>
      </c>
      <c r="D60" s="2" t="inlineStr">
        <is>
          <t>أرشفة المراسلات</t>
        </is>
      </c>
      <c r="E60" s="2" t="inlineStr">
        <is>
          <t>أبريل</t>
        </is>
      </c>
      <c r="F60" s="3" t="n">
        <v>46502</v>
      </c>
      <c r="G60" s="2" t="inlineStr">
        <is>
          <t>مكتمل</t>
        </is>
      </c>
      <c r="H60" s="4" t="n">
        <v>1</v>
      </c>
    </row>
    <row r="61">
      <c r="A61" s="2" t="inlineStr">
        <is>
          <t>TSK-0060</t>
        </is>
      </c>
      <c r="B61" s="2" t="inlineStr">
        <is>
          <t>الموارد البشرية</t>
        </is>
      </c>
      <c r="C61" s="2" t="inlineStr">
        <is>
          <t>موظف تجريبي ي</t>
        </is>
      </c>
      <c r="D61" s="2" t="inlineStr">
        <is>
          <t>إعداد ملخص تنفيذي</t>
        </is>
      </c>
      <c r="E61" s="2" t="inlineStr">
        <is>
          <t>أبريل</t>
        </is>
      </c>
      <c r="F61" s="3" t="n">
        <v>46502</v>
      </c>
      <c r="G61" s="2" t="inlineStr">
        <is>
          <t>مكتمل</t>
        </is>
      </c>
      <c r="H61" s="4" t="n">
        <v>1</v>
      </c>
    </row>
    <row r="62">
      <c r="A62" s="2" t="inlineStr">
        <is>
          <t>TSK-0061</t>
        </is>
      </c>
      <c r="B62" s="2" t="inlineStr">
        <is>
          <t>الموارد البشرية</t>
        </is>
      </c>
      <c r="C62" s="2" t="inlineStr">
        <is>
          <t>موظف تجريبي ي</t>
        </is>
      </c>
      <c r="D62" s="2" t="inlineStr">
        <is>
          <t>إعداد تقرير شهري</t>
        </is>
      </c>
      <c r="E62" s="2" t="inlineStr">
        <is>
          <t>أبريل</t>
        </is>
      </c>
      <c r="F62" s="3" t="n">
        <v>46486</v>
      </c>
      <c r="G62" s="2" t="inlineStr">
        <is>
          <t>مكتمل</t>
        </is>
      </c>
      <c r="H62" s="4" t="n">
        <v>1</v>
      </c>
    </row>
    <row r="63">
      <c r="A63" s="2" t="inlineStr">
        <is>
          <t>TSK-0062</t>
        </is>
      </c>
      <c r="B63" s="2" t="inlineStr">
        <is>
          <t>الموارد البشرية</t>
        </is>
      </c>
      <c r="C63" s="2" t="inlineStr">
        <is>
          <t>موظف تجريبي ك</t>
        </is>
      </c>
      <c r="D63" s="2" t="inlineStr">
        <is>
          <t>إعداد ملخص تنفيذي</t>
        </is>
      </c>
      <c r="E63" s="2" t="inlineStr">
        <is>
          <t>أبريل</t>
        </is>
      </c>
      <c r="F63" s="3" t="n">
        <v>46504</v>
      </c>
      <c r="G63" s="2" t="inlineStr">
        <is>
          <t>قيد التنفيذ</t>
        </is>
      </c>
      <c r="H63" s="4" t="n">
        <v>0.7</v>
      </c>
    </row>
    <row r="64">
      <c r="A64" s="2" t="inlineStr">
        <is>
          <t>TSK-0063</t>
        </is>
      </c>
      <c r="B64" s="2" t="inlineStr">
        <is>
          <t>الشؤون التنفيذية</t>
        </is>
      </c>
      <c r="C64" s="2" t="inlineStr">
        <is>
          <t>موظف تجريبي أ</t>
        </is>
      </c>
      <c r="D64" s="2" t="inlineStr">
        <is>
          <t>تجهيز مواد اجتماع</t>
        </is>
      </c>
      <c r="E64" s="2" t="inlineStr">
        <is>
          <t>مايو</t>
        </is>
      </c>
      <c r="F64" s="3" t="n">
        <v>46516</v>
      </c>
      <c r="G64" s="2" t="inlineStr">
        <is>
          <t>مكتمل</t>
        </is>
      </c>
      <c r="H64" s="4" t="n">
        <v>1</v>
      </c>
    </row>
    <row r="65">
      <c r="A65" s="2" t="inlineStr">
        <is>
          <t>TSK-0064</t>
        </is>
      </c>
      <c r="B65" s="2" t="inlineStr">
        <is>
          <t>الشؤون التنفيذية</t>
        </is>
      </c>
      <c r="C65" s="2" t="inlineStr">
        <is>
          <t>موظف تجريبي أ</t>
        </is>
      </c>
      <c r="D65" s="2" t="inlineStr">
        <is>
          <t>مراجعة محضر اجتماع</t>
        </is>
      </c>
      <c r="E65" s="2" t="inlineStr">
        <is>
          <t>مايو</t>
        </is>
      </c>
      <c r="F65" s="3" t="n">
        <v>46516</v>
      </c>
      <c r="G65" s="2" t="inlineStr">
        <is>
          <t>مكتمل</t>
        </is>
      </c>
      <c r="H65" s="4" t="n">
        <v>1</v>
      </c>
    </row>
    <row r="66">
      <c r="A66" s="2" t="inlineStr">
        <is>
          <t>TSK-0065</t>
        </is>
      </c>
      <c r="B66" s="2" t="inlineStr">
        <is>
          <t>الشؤون التنفيذية</t>
        </is>
      </c>
      <c r="C66" s="2" t="inlineStr">
        <is>
          <t>موظف تجريبي ب</t>
        </is>
      </c>
      <c r="D66" s="2" t="inlineStr">
        <is>
          <t>مراجعة مسودة إجراء</t>
        </is>
      </c>
      <c r="E66" s="2" t="inlineStr">
        <is>
          <t>مايو</t>
        </is>
      </c>
      <c r="F66" s="3" t="n">
        <v>46519</v>
      </c>
      <c r="G66" s="2" t="inlineStr">
        <is>
          <t>مكتمل</t>
        </is>
      </c>
      <c r="H66" s="4" t="n">
        <v>1</v>
      </c>
    </row>
    <row r="67">
      <c r="A67" s="2" t="inlineStr">
        <is>
          <t>TSK-0066</t>
        </is>
      </c>
      <c r="B67" s="2" t="inlineStr">
        <is>
          <t>العمليات</t>
        </is>
      </c>
      <c r="C67" s="2" t="inlineStr">
        <is>
          <t>موظف تجريبي ج</t>
        </is>
      </c>
      <c r="D67" s="2" t="inlineStr">
        <is>
          <t>أرشفة المراسلات</t>
        </is>
      </c>
      <c r="E67" s="2" t="inlineStr">
        <is>
          <t>مايو</t>
        </is>
      </c>
      <c r="F67" s="3" t="n">
        <v>46518</v>
      </c>
      <c r="G67" s="2" t="inlineStr">
        <is>
          <t>قيد التنفيذ</t>
        </is>
      </c>
      <c r="H67" s="4" t="n">
        <v>0.25</v>
      </c>
    </row>
    <row r="68">
      <c r="A68" s="2" t="inlineStr">
        <is>
          <t>TSK-0067</t>
        </is>
      </c>
      <c r="B68" s="2" t="inlineStr">
        <is>
          <t>العمليات</t>
        </is>
      </c>
      <c r="C68" s="2" t="inlineStr">
        <is>
          <t>موظف تجريبي د</t>
        </is>
      </c>
      <c r="D68" s="2" t="inlineStr">
        <is>
          <t>إعداد ملخص تنفيذي</t>
        </is>
      </c>
      <c r="E68" s="2" t="inlineStr">
        <is>
          <t>مايو</t>
        </is>
      </c>
      <c r="F68" s="3" t="n">
        <v>46529</v>
      </c>
      <c r="G68" s="2" t="inlineStr">
        <is>
          <t>مكتمل</t>
        </is>
      </c>
      <c r="H68" s="4" t="n">
        <v>1</v>
      </c>
    </row>
    <row r="69">
      <c r="A69" s="2" t="inlineStr">
        <is>
          <t>TSK-0068</t>
        </is>
      </c>
      <c r="B69" s="2" t="inlineStr">
        <is>
          <t>العمليات</t>
        </is>
      </c>
      <c r="C69" s="2" t="inlineStr">
        <is>
          <t>موظف تجريبي هـ</t>
        </is>
      </c>
      <c r="D69" s="2" t="inlineStr">
        <is>
          <t>تجهيز مواد اجتماع</t>
        </is>
      </c>
      <c r="E69" s="2" t="inlineStr">
        <is>
          <t>مايو</t>
        </is>
      </c>
      <c r="F69" s="3" t="n">
        <v>46530</v>
      </c>
      <c r="G69" s="2" t="inlineStr">
        <is>
          <t>مكتمل</t>
        </is>
      </c>
      <c r="H69" s="4" t="n">
        <v>1</v>
      </c>
    </row>
    <row r="70">
      <c r="A70" s="2" t="inlineStr">
        <is>
          <t>TSK-0069</t>
        </is>
      </c>
      <c r="B70" s="2" t="inlineStr">
        <is>
          <t>الاتصال المؤسسي</t>
        </is>
      </c>
      <c r="C70" s="2" t="inlineStr">
        <is>
          <t>موظف تجريبي و</t>
        </is>
      </c>
      <c r="D70" s="2" t="inlineStr">
        <is>
          <t>أرشفة المراسلات</t>
        </is>
      </c>
      <c r="E70" s="2" t="inlineStr">
        <is>
          <t>مايو</t>
        </is>
      </c>
      <c r="F70" s="3" t="n">
        <v>46532</v>
      </c>
      <c r="G70" s="2" t="inlineStr">
        <is>
          <t>قيد التنفيذ</t>
        </is>
      </c>
      <c r="H70" s="4" t="n">
        <v>0.7</v>
      </c>
    </row>
    <row r="71">
      <c r="A71" s="2" t="inlineStr">
        <is>
          <t>TSK-0070</t>
        </is>
      </c>
      <c r="B71" s="2" t="inlineStr">
        <is>
          <t>الاتصال المؤسسي</t>
        </is>
      </c>
      <c r="C71" s="2" t="inlineStr">
        <is>
          <t>موظف تجريبي ز</t>
        </is>
      </c>
      <c r="D71" s="2" t="inlineStr">
        <is>
          <t>إعداد تقرير شهري</t>
        </is>
      </c>
      <c r="E71" s="2" t="inlineStr">
        <is>
          <t>مايو</t>
        </is>
      </c>
      <c r="F71" s="3" t="n">
        <v>46519</v>
      </c>
      <c r="G71" s="2" t="inlineStr">
        <is>
          <t>مكتمل</t>
        </is>
      </c>
      <c r="H71" s="4" t="n">
        <v>1</v>
      </c>
    </row>
    <row r="72">
      <c r="A72" s="2" t="inlineStr">
        <is>
          <t>TSK-0071</t>
        </is>
      </c>
      <c r="B72" s="2" t="inlineStr">
        <is>
          <t>الاتصال المؤسسي</t>
        </is>
      </c>
      <c r="C72" s="2" t="inlineStr">
        <is>
          <t>موظف تجريبي ز</t>
        </is>
      </c>
      <c r="D72" s="2" t="inlineStr">
        <is>
          <t>تحديث سجل المتابعة</t>
        </is>
      </c>
      <c r="E72" s="2" t="inlineStr">
        <is>
          <t>مايو</t>
        </is>
      </c>
      <c r="F72" s="3" t="n">
        <v>46524</v>
      </c>
      <c r="G72" s="2" t="inlineStr">
        <is>
          <t>قيد التنفيذ</t>
        </is>
      </c>
      <c r="H72" s="4" t="n">
        <v>0.55</v>
      </c>
    </row>
    <row r="73">
      <c r="A73" s="2" t="inlineStr">
        <is>
          <t>TSK-0072</t>
        </is>
      </c>
      <c r="B73" s="2" t="inlineStr">
        <is>
          <t>المشتريات</t>
        </is>
      </c>
      <c r="C73" s="2" t="inlineStr">
        <is>
          <t>موظف تجريبي ح</t>
        </is>
      </c>
      <c r="D73" s="2" t="inlineStr">
        <is>
          <t>تحديث مصفوفة الصلاحيات</t>
        </is>
      </c>
      <c r="E73" s="2" t="inlineStr">
        <is>
          <t>مايو</t>
        </is>
      </c>
      <c r="F73" s="3" t="n">
        <v>46512</v>
      </c>
      <c r="G73" s="2" t="inlineStr">
        <is>
          <t>مكتمل</t>
        </is>
      </c>
      <c r="H73" s="4" t="n">
        <v>1</v>
      </c>
    </row>
    <row r="74">
      <c r="A74" s="2" t="inlineStr">
        <is>
          <t>TSK-0073</t>
        </is>
      </c>
      <c r="B74" s="2" t="inlineStr">
        <is>
          <t>المشتريات</t>
        </is>
      </c>
      <c r="C74" s="2" t="inlineStr">
        <is>
          <t>موظف تجريبي ط</t>
        </is>
      </c>
      <c r="D74" s="2" t="inlineStr">
        <is>
          <t>تحديث مصفوفة الصلاحيات</t>
        </is>
      </c>
      <c r="E74" s="2" t="inlineStr">
        <is>
          <t>مايو</t>
        </is>
      </c>
      <c r="F74" s="3" t="n">
        <v>46517</v>
      </c>
      <c r="G74" s="2" t="inlineStr">
        <is>
          <t>قيد التنفيذ</t>
        </is>
      </c>
      <c r="H74" s="4" t="n">
        <v>0.7</v>
      </c>
    </row>
    <row r="75">
      <c r="A75" s="2" t="inlineStr">
        <is>
          <t>TSK-0074</t>
        </is>
      </c>
      <c r="B75" s="2" t="inlineStr">
        <is>
          <t>الموارد البشرية</t>
        </is>
      </c>
      <c r="C75" s="2" t="inlineStr">
        <is>
          <t>موظف تجريبي ي</t>
        </is>
      </c>
      <c r="D75" s="2" t="inlineStr">
        <is>
          <t>تحديث سجل المتابعة</t>
        </is>
      </c>
      <c r="E75" s="2" t="inlineStr">
        <is>
          <t>مايو</t>
        </is>
      </c>
      <c r="F75" s="3" t="n">
        <v>46512</v>
      </c>
      <c r="G75" s="2" t="inlineStr">
        <is>
          <t>مكتمل</t>
        </is>
      </c>
      <c r="H75" s="4" t="n">
        <v>1</v>
      </c>
    </row>
    <row r="76">
      <c r="A76" s="2" t="inlineStr">
        <is>
          <t>TSK-0075</t>
        </is>
      </c>
      <c r="B76" s="2" t="inlineStr">
        <is>
          <t>الموارد البشرية</t>
        </is>
      </c>
      <c r="C76" s="2" t="inlineStr">
        <is>
          <t>موظف تجريبي ي</t>
        </is>
      </c>
      <c r="D76" s="2" t="inlineStr">
        <is>
          <t>تجهيز مواد اجتماع</t>
        </is>
      </c>
      <c r="E76" s="2" t="inlineStr">
        <is>
          <t>مايو</t>
        </is>
      </c>
      <c r="F76" s="3" t="n">
        <v>46533</v>
      </c>
      <c r="G76" s="2" t="inlineStr">
        <is>
          <t>مكتمل</t>
        </is>
      </c>
      <c r="H76" s="4" t="n">
        <v>1</v>
      </c>
    </row>
    <row r="77">
      <c r="A77" s="2" t="inlineStr">
        <is>
          <t>TSK-0076</t>
        </is>
      </c>
      <c r="B77" s="2" t="inlineStr">
        <is>
          <t>الموارد البشرية</t>
        </is>
      </c>
      <c r="C77" s="2" t="inlineStr">
        <is>
          <t>موظف تجريبي ك</t>
        </is>
      </c>
      <c r="D77" s="2" t="inlineStr">
        <is>
          <t>تحديث خطة التدريب</t>
        </is>
      </c>
      <c r="E77" s="2" t="inlineStr">
        <is>
          <t>مايو</t>
        </is>
      </c>
      <c r="F77" s="3" t="n">
        <v>46527</v>
      </c>
      <c r="G77" s="2" t="inlineStr">
        <is>
          <t>مكتمل</t>
        </is>
      </c>
      <c r="H77" s="4" t="n">
        <v>1</v>
      </c>
    </row>
    <row r="78">
      <c r="A78" s="2" t="inlineStr">
        <is>
          <t>TSK-0077</t>
        </is>
      </c>
      <c r="B78" s="2" t="inlineStr">
        <is>
          <t>الشؤون التنفيذية</t>
        </is>
      </c>
      <c r="C78" s="2" t="inlineStr">
        <is>
          <t>موظف تجريبي أ</t>
        </is>
      </c>
      <c r="D78" s="2" t="inlineStr">
        <is>
          <t>تجهيز مواد اجتماع</t>
        </is>
      </c>
      <c r="E78" s="2" t="inlineStr">
        <is>
          <t>يونيو</t>
        </is>
      </c>
      <c r="F78" s="3" t="n">
        <v>46548</v>
      </c>
      <c r="G78" s="2" t="inlineStr">
        <is>
          <t>مكتمل</t>
        </is>
      </c>
      <c r="H78" s="4" t="n">
        <v>1</v>
      </c>
    </row>
    <row r="79">
      <c r="A79" s="2" t="inlineStr">
        <is>
          <t>TSK-0078</t>
        </is>
      </c>
      <c r="B79" s="2" t="inlineStr">
        <is>
          <t>الشؤون التنفيذية</t>
        </is>
      </c>
      <c r="C79" s="2" t="inlineStr">
        <is>
          <t>موظف تجريبي ب</t>
        </is>
      </c>
      <c r="D79" s="2" t="inlineStr">
        <is>
          <t>إعداد تقرير شهري</t>
        </is>
      </c>
      <c r="E79" s="2" t="inlineStr">
        <is>
          <t>يونيو</t>
        </is>
      </c>
      <c r="F79" s="3" t="n">
        <v>46546</v>
      </c>
      <c r="G79" s="2" t="inlineStr">
        <is>
          <t>مكتمل</t>
        </is>
      </c>
      <c r="H79" s="4" t="n">
        <v>1</v>
      </c>
    </row>
    <row r="80">
      <c r="A80" s="2" t="inlineStr">
        <is>
          <t>TSK-0079</t>
        </is>
      </c>
      <c r="B80" s="2" t="inlineStr">
        <is>
          <t>العمليات</t>
        </is>
      </c>
      <c r="C80" s="2" t="inlineStr">
        <is>
          <t>موظف تجريبي ج</t>
        </is>
      </c>
      <c r="D80" s="2" t="inlineStr">
        <is>
          <t>أرشفة المراسلات</t>
        </is>
      </c>
      <c r="E80" s="2" t="inlineStr">
        <is>
          <t>يونيو</t>
        </is>
      </c>
      <c r="F80" s="3" t="n">
        <v>46542</v>
      </c>
      <c r="G80" s="2" t="inlineStr">
        <is>
          <t>مكتمل</t>
        </is>
      </c>
      <c r="H80" s="4" t="n">
        <v>1</v>
      </c>
    </row>
    <row r="81">
      <c r="A81" s="2" t="inlineStr">
        <is>
          <t>TSK-0080</t>
        </is>
      </c>
      <c r="B81" s="2" t="inlineStr">
        <is>
          <t>العمليات</t>
        </is>
      </c>
      <c r="C81" s="2" t="inlineStr">
        <is>
          <t>موظف تجريبي د</t>
        </is>
      </c>
      <c r="D81" s="2" t="inlineStr">
        <is>
          <t>مراجعة محضر اجتماع</t>
        </is>
      </c>
      <c r="E81" s="2" t="inlineStr">
        <is>
          <t>يونيو</t>
        </is>
      </c>
      <c r="F81" s="3" t="n">
        <v>46563</v>
      </c>
      <c r="G81" s="2" t="inlineStr">
        <is>
          <t>متأخر</t>
        </is>
      </c>
      <c r="H81" s="4" t="n">
        <v>0.1</v>
      </c>
    </row>
    <row r="82">
      <c r="A82" s="2" t="inlineStr">
        <is>
          <t>TSK-0081</t>
        </is>
      </c>
      <c r="B82" s="2" t="inlineStr">
        <is>
          <t>العمليات</t>
        </is>
      </c>
      <c r="C82" s="2" t="inlineStr">
        <is>
          <t>موظف تجريبي د</t>
        </is>
      </c>
      <c r="D82" s="2" t="inlineStr">
        <is>
          <t>إعداد ملخص تنفيذي</t>
        </is>
      </c>
      <c r="E82" s="2" t="inlineStr">
        <is>
          <t>يونيو</t>
        </is>
      </c>
      <c r="F82" s="3" t="n">
        <v>46544</v>
      </c>
      <c r="G82" s="2" t="inlineStr">
        <is>
          <t>مكتمل</t>
        </is>
      </c>
      <c r="H82" s="4" t="n">
        <v>1</v>
      </c>
    </row>
    <row r="83">
      <c r="A83" s="2" t="inlineStr">
        <is>
          <t>TSK-0082</t>
        </is>
      </c>
      <c r="B83" s="2" t="inlineStr">
        <is>
          <t>العمليات</t>
        </is>
      </c>
      <c r="C83" s="2" t="inlineStr">
        <is>
          <t>موظف تجريبي هـ</t>
        </is>
      </c>
      <c r="D83" s="2" t="inlineStr">
        <is>
          <t>إعداد ملخص تنفيذي</t>
        </is>
      </c>
      <c r="E83" s="2" t="inlineStr">
        <is>
          <t>يونيو</t>
        </is>
      </c>
      <c r="F83" s="3" t="n">
        <v>46546</v>
      </c>
      <c r="G83" s="2" t="inlineStr">
        <is>
          <t>مكتمل</t>
        </is>
      </c>
      <c r="H83" s="4" t="n">
        <v>1</v>
      </c>
    </row>
    <row r="84">
      <c r="A84" s="2" t="inlineStr">
        <is>
          <t>TSK-0083</t>
        </is>
      </c>
      <c r="B84" s="2" t="inlineStr">
        <is>
          <t>الاتصال المؤسسي</t>
        </is>
      </c>
      <c r="C84" s="2" t="inlineStr">
        <is>
          <t>موظف تجريبي و</t>
        </is>
      </c>
      <c r="D84" s="2" t="inlineStr">
        <is>
          <t>مراجعة مسودة إجراء</t>
        </is>
      </c>
      <c r="E84" s="2" t="inlineStr">
        <is>
          <t>يونيو</t>
        </is>
      </c>
      <c r="F84" s="3" t="n">
        <v>46555</v>
      </c>
      <c r="G84" s="2" t="inlineStr">
        <is>
          <t>مكتمل</t>
        </is>
      </c>
      <c r="H84" s="4" t="n">
        <v>1</v>
      </c>
    </row>
    <row r="85">
      <c r="A85" s="2" t="inlineStr">
        <is>
          <t>TSK-0084</t>
        </is>
      </c>
      <c r="B85" s="2" t="inlineStr">
        <is>
          <t>الاتصال المؤسسي</t>
        </is>
      </c>
      <c r="C85" s="2" t="inlineStr">
        <is>
          <t>موظف تجريبي ز</t>
        </is>
      </c>
      <c r="D85" s="2" t="inlineStr">
        <is>
          <t>تحديث قائمة جهات الاتصال</t>
        </is>
      </c>
      <c r="E85" s="2" t="inlineStr">
        <is>
          <t>يونيو</t>
        </is>
      </c>
      <c r="F85" s="3" t="n">
        <v>46550</v>
      </c>
      <c r="G85" s="2" t="inlineStr">
        <is>
          <t>متأخر</t>
        </is>
      </c>
      <c r="H85" s="4" t="n">
        <v>0.5</v>
      </c>
    </row>
    <row r="86">
      <c r="A86" s="2" t="inlineStr">
        <is>
          <t>TSK-0085</t>
        </is>
      </c>
      <c r="B86" s="2" t="inlineStr">
        <is>
          <t>الاتصال المؤسسي</t>
        </is>
      </c>
      <c r="C86" s="2" t="inlineStr">
        <is>
          <t>موظف تجريبي ز</t>
        </is>
      </c>
      <c r="D86" s="2" t="inlineStr">
        <is>
          <t>أرشفة المراسلات</t>
        </is>
      </c>
      <c r="E86" s="2" t="inlineStr">
        <is>
          <t>يونيو</t>
        </is>
      </c>
      <c r="F86" s="3" t="n">
        <v>46560</v>
      </c>
      <c r="G86" s="2" t="inlineStr">
        <is>
          <t>مكتمل</t>
        </is>
      </c>
      <c r="H86" s="4" t="n">
        <v>1</v>
      </c>
    </row>
    <row r="87">
      <c r="A87" s="2" t="inlineStr">
        <is>
          <t>TSK-0086</t>
        </is>
      </c>
      <c r="B87" s="2" t="inlineStr">
        <is>
          <t>المشتريات</t>
        </is>
      </c>
      <c r="C87" s="2" t="inlineStr">
        <is>
          <t>موظف تجريبي ح</t>
        </is>
      </c>
      <c r="D87" s="2" t="inlineStr">
        <is>
          <t>تجهيز مواد اجتماع</t>
        </is>
      </c>
      <c r="E87" s="2" t="inlineStr">
        <is>
          <t>يونيو</t>
        </is>
      </c>
      <c r="F87" s="3" t="n">
        <v>46541</v>
      </c>
      <c r="G87" s="2" t="inlineStr">
        <is>
          <t>مكتمل</t>
        </is>
      </c>
      <c r="H87" s="4" t="n">
        <v>1</v>
      </c>
    </row>
    <row r="88">
      <c r="A88" s="2" t="inlineStr">
        <is>
          <t>TSK-0087</t>
        </is>
      </c>
      <c r="B88" s="2" t="inlineStr">
        <is>
          <t>المشتريات</t>
        </is>
      </c>
      <c r="C88" s="2" t="inlineStr">
        <is>
          <t>موظف تجريبي ط</t>
        </is>
      </c>
      <c r="D88" s="2" t="inlineStr">
        <is>
          <t>تحديث مصفوفة الصلاحيات</t>
        </is>
      </c>
      <c r="E88" s="2" t="inlineStr">
        <is>
          <t>يونيو</t>
        </is>
      </c>
      <c r="F88" s="3" t="n">
        <v>46557</v>
      </c>
      <c r="G88" s="2" t="inlineStr">
        <is>
          <t>مكتمل</t>
        </is>
      </c>
      <c r="H88" s="4" t="n">
        <v>1</v>
      </c>
    </row>
    <row r="89">
      <c r="A89" s="2" t="inlineStr">
        <is>
          <t>TSK-0088</t>
        </is>
      </c>
      <c r="B89" s="2" t="inlineStr">
        <is>
          <t>الموارد البشرية</t>
        </is>
      </c>
      <c r="C89" s="2" t="inlineStr">
        <is>
          <t>موظف تجريبي ي</t>
        </is>
      </c>
      <c r="D89" s="2" t="inlineStr">
        <is>
          <t>تحديث قائمة جهات الاتصال</t>
        </is>
      </c>
      <c r="E89" s="2" t="inlineStr">
        <is>
          <t>يونيو</t>
        </is>
      </c>
      <c r="F89" s="3" t="n">
        <v>46544</v>
      </c>
      <c r="G89" s="2" t="inlineStr">
        <is>
          <t>مكتمل</t>
        </is>
      </c>
      <c r="H89" s="4" t="n">
        <v>1</v>
      </c>
    </row>
    <row r="90">
      <c r="A90" s="2" t="inlineStr">
        <is>
          <t>TSK-0089</t>
        </is>
      </c>
      <c r="B90" s="2" t="inlineStr">
        <is>
          <t>الموارد البشرية</t>
        </is>
      </c>
      <c r="C90" s="2" t="inlineStr">
        <is>
          <t>موظف تجريبي ك</t>
        </is>
      </c>
      <c r="D90" s="2" t="inlineStr">
        <is>
          <t>أرشفة المراسلات</t>
        </is>
      </c>
      <c r="E90" s="2" t="inlineStr">
        <is>
          <t>يونيو</t>
        </is>
      </c>
      <c r="F90" s="3" t="n">
        <v>46551</v>
      </c>
      <c r="G90" s="2" t="inlineStr">
        <is>
          <t>مكتمل</t>
        </is>
      </c>
      <c r="H90" s="4" t="n">
        <v>1</v>
      </c>
    </row>
    <row r="91">
      <c r="A91" s="2" t="inlineStr">
        <is>
          <t>TSK-0090</t>
        </is>
      </c>
      <c r="B91" s="2" t="inlineStr">
        <is>
          <t>الشؤون التنفيذية</t>
        </is>
      </c>
      <c r="C91" s="2" t="inlineStr">
        <is>
          <t>موظف تجريبي أ</t>
        </is>
      </c>
      <c r="D91" s="2" t="inlineStr">
        <is>
          <t>إعداد ملخص تنفيذي</t>
        </is>
      </c>
      <c r="E91" s="2" t="inlineStr">
        <is>
          <t>يوليو</t>
        </is>
      </c>
      <c r="F91" s="3" t="n">
        <v>46595</v>
      </c>
      <c r="G91" s="2" t="inlineStr">
        <is>
          <t>مكتمل</t>
        </is>
      </c>
      <c r="H91" s="4" t="n">
        <v>1</v>
      </c>
    </row>
    <row r="92">
      <c r="A92" s="2" t="inlineStr">
        <is>
          <t>TSK-0091</t>
        </is>
      </c>
      <c r="B92" s="2" t="inlineStr">
        <is>
          <t>الشؤون التنفيذية</t>
        </is>
      </c>
      <c r="C92" s="2" t="inlineStr">
        <is>
          <t>موظف تجريبي أ</t>
        </is>
      </c>
      <c r="D92" s="2" t="inlineStr">
        <is>
          <t>إعداد عرض تقديمي</t>
        </is>
      </c>
      <c r="E92" s="2" t="inlineStr">
        <is>
          <t>يوليو</t>
        </is>
      </c>
      <c r="F92" s="3" t="n">
        <v>46582</v>
      </c>
      <c r="G92" s="2" t="inlineStr">
        <is>
          <t>مكتمل</t>
        </is>
      </c>
      <c r="H92" s="4" t="n">
        <v>1</v>
      </c>
    </row>
    <row r="93">
      <c r="A93" s="2" t="inlineStr">
        <is>
          <t>TSK-0092</t>
        </is>
      </c>
      <c r="B93" s="2" t="inlineStr">
        <is>
          <t>الشؤون التنفيذية</t>
        </is>
      </c>
      <c r="C93" s="2" t="inlineStr">
        <is>
          <t>موظف تجريبي ب</t>
        </is>
      </c>
      <c r="D93" s="2" t="inlineStr">
        <is>
          <t>متابعة طلب شراء</t>
        </is>
      </c>
      <c r="E93" s="2" t="inlineStr">
        <is>
          <t>يوليو</t>
        </is>
      </c>
      <c r="F93" s="3" t="n">
        <v>46581</v>
      </c>
      <c r="G93" s="2" t="inlineStr">
        <is>
          <t>قيد التنفيذ</t>
        </is>
      </c>
      <c r="H93" s="4" t="n">
        <v>0.25</v>
      </c>
    </row>
    <row r="94">
      <c r="A94" s="2" t="inlineStr">
        <is>
          <t>TSK-0093</t>
        </is>
      </c>
      <c r="B94" s="2" t="inlineStr">
        <is>
          <t>العمليات</t>
        </is>
      </c>
      <c r="C94" s="2" t="inlineStr">
        <is>
          <t>موظف تجريبي ج</t>
        </is>
      </c>
      <c r="D94" s="2" t="inlineStr">
        <is>
          <t>تحديث خطة التدريب</t>
        </is>
      </c>
      <c r="E94" s="2" t="inlineStr">
        <is>
          <t>يوليو</t>
        </is>
      </c>
      <c r="F94" s="3" t="n">
        <v>46583</v>
      </c>
      <c r="G94" s="2" t="inlineStr">
        <is>
          <t>مكتمل</t>
        </is>
      </c>
      <c r="H94" s="4" t="n">
        <v>1</v>
      </c>
    </row>
    <row r="95">
      <c r="A95" s="2" t="inlineStr">
        <is>
          <t>TSK-0094</t>
        </is>
      </c>
      <c r="B95" s="2" t="inlineStr">
        <is>
          <t>العمليات</t>
        </is>
      </c>
      <c r="C95" s="2" t="inlineStr">
        <is>
          <t>موظف تجريبي د</t>
        </is>
      </c>
      <c r="D95" s="2" t="inlineStr">
        <is>
          <t>مراجعة مسودة إجراء</t>
        </is>
      </c>
      <c r="E95" s="2" t="inlineStr">
        <is>
          <t>يوليو</t>
        </is>
      </c>
      <c r="F95" s="3" t="n">
        <v>46593</v>
      </c>
      <c r="G95" s="2" t="inlineStr">
        <is>
          <t>مكتمل</t>
        </is>
      </c>
      <c r="H95" s="4" t="n">
        <v>1</v>
      </c>
    </row>
    <row r="96">
      <c r="A96" s="2" t="inlineStr">
        <is>
          <t>TSK-0095</t>
        </is>
      </c>
      <c r="B96" s="2" t="inlineStr">
        <is>
          <t>العمليات</t>
        </is>
      </c>
      <c r="C96" s="2" t="inlineStr">
        <is>
          <t>موظف تجريبي هـ</t>
        </is>
      </c>
      <c r="D96" s="2" t="inlineStr">
        <is>
          <t>أرشفة المراسلات</t>
        </is>
      </c>
      <c r="E96" s="2" t="inlineStr">
        <is>
          <t>يوليو</t>
        </is>
      </c>
      <c r="F96" s="3" t="n">
        <v>46574</v>
      </c>
      <c r="G96" s="2" t="inlineStr">
        <is>
          <t>مكتمل</t>
        </is>
      </c>
      <c r="H96" s="4" t="n">
        <v>1</v>
      </c>
    </row>
    <row r="97">
      <c r="A97" s="2" t="inlineStr">
        <is>
          <t>TSK-0096</t>
        </is>
      </c>
      <c r="B97" s="2" t="inlineStr">
        <is>
          <t>الاتصال المؤسسي</t>
        </is>
      </c>
      <c r="C97" s="2" t="inlineStr">
        <is>
          <t>موظف تجريبي و</t>
        </is>
      </c>
      <c r="D97" s="2" t="inlineStr">
        <is>
          <t>مراجعة مسودة إجراء</t>
        </is>
      </c>
      <c r="E97" s="2" t="inlineStr">
        <is>
          <t>يوليو</t>
        </is>
      </c>
      <c r="F97" s="3" t="n">
        <v>46581</v>
      </c>
      <c r="G97" s="2" t="inlineStr">
        <is>
          <t>متأخر</t>
        </is>
      </c>
      <c r="H97" s="4" t="n">
        <v>0.1</v>
      </c>
    </row>
    <row r="98">
      <c r="A98" s="2" t="inlineStr">
        <is>
          <t>TSK-0097</t>
        </is>
      </c>
      <c r="B98" s="2" t="inlineStr">
        <is>
          <t>الاتصال المؤسسي</t>
        </is>
      </c>
      <c r="C98" s="2" t="inlineStr">
        <is>
          <t>موظف تجريبي ز</t>
        </is>
      </c>
      <c r="D98" s="2" t="inlineStr">
        <is>
          <t>مراجعة محضر اجتماع</t>
        </is>
      </c>
      <c r="E98" s="2" t="inlineStr">
        <is>
          <t>يوليو</t>
        </is>
      </c>
      <c r="F98" s="3" t="n">
        <v>46591</v>
      </c>
      <c r="G98" s="2" t="inlineStr">
        <is>
          <t>مكتمل</t>
        </is>
      </c>
      <c r="H98" s="4" t="n">
        <v>1</v>
      </c>
    </row>
    <row r="99">
      <c r="A99" s="2" t="inlineStr">
        <is>
          <t>TSK-0098</t>
        </is>
      </c>
      <c r="B99" s="2" t="inlineStr">
        <is>
          <t>المشتريات</t>
        </is>
      </c>
      <c r="C99" s="2" t="inlineStr">
        <is>
          <t>موظف تجريبي ح</t>
        </is>
      </c>
      <c r="D99" s="2" t="inlineStr">
        <is>
          <t>تحديث سجل المتابعة</t>
        </is>
      </c>
      <c r="E99" s="2" t="inlineStr">
        <is>
          <t>يوليو</t>
        </is>
      </c>
      <c r="F99" s="3" t="n">
        <v>46578</v>
      </c>
      <c r="G99" s="2" t="inlineStr">
        <is>
          <t>مكتمل</t>
        </is>
      </c>
      <c r="H99" s="4" t="n">
        <v>1</v>
      </c>
    </row>
    <row r="100">
      <c r="A100" s="2" t="inlineStr">
        <is>
          <t>TSK-0099</t>
        </is>
      </c>
      <c r="B100" s="2" t="inlineStr">
        <is>
          <t>المشتريات</t>
        </is>
      </c>
      <c r="C100" s="2" t="inlineStr">
        <is>
          <t>موظف تجريبي ط</t>
        </is>
      </c>
      <c r="D100" s="2" t="inlineStr">
        <is>
          <t>تحديث خطة التدريب</t>
        </is>
      </c>
      <c r="E100" s="2" t="inlineStr">
        <is>
          <t>يوليو</t>
        </is>
      </c>
      <c r="F100" s="3" t="n">
        <v>46581</v>
      </c>
      <c r="G100" s="2" t="inlineStr">
        <is>
          <t>قيد التنفيذ</t>
        </is>
      </c>
      <c r="H100" s="4" t="n">
        <v>0.7</v>
      </c>
    </row>
    <row r="101">
      <c r="A101" s="2" t="inlineStr">
        <is>
          <t>TSK-0100</t>
        </is>
      </c>
      <c r="B101" s="2" t="inlineStr">
        <is>
          <t>الموارد البشرية</t>
        </is>
      </c>
      <c r="C101" s="2" t="inlineStr">
        <is>
          <t>موظف تجريبي ي</t>
        </is>
      </c>
      <c r="D101" s="2" t="inlineStr">
        <is>
          <t>مراجعة محضر اجتماع</t>
        </is>
      </c>
      <c r="E101" s="2" t="inlineStr">
        <is>
          <t>يوليو</t>
        </is>
      </c>
      <c r="F101" s="3" t="n">
        <v>46574</v>
      </c>
      <c r="G101" s="2" t="inlineStr">
        <is>
          <t>قيد التنفيذ</t>
        </is>
      </c>
      <c r="H101" s="4" t="n">
        <v>0.55</v>
      </c>
    </row>
    <row r="102">
      <c r="A102" s="2" t="inlineStr">
        <is>
          <t>TSK-0101</t>
        </is>
      </c>
      <c r="B102" s="2" t="inlineStr">
        <is>
          <t>الموارد البشرية</t>
        </is>
      </c>
      <c r="C102" s="2" t="inlineStr">
        <is>
          <t>موظف تجريبي ي</t>
        </is>
      </c>
      <c r="D102" s="2" t="inlineStr">
        <is>
          <t>تحديث خطة التدريب</t>
        </is>
      </c>
      <c r="E102" s="2" t="inlineStr">
        <is>
          <t>يوليو</t>
        </is>
      </c>
      <c r="F102" s="3" t="n">
        <v>46583</v>
      </c>
      <c r="G102" s="2" t="inlineStr">
        <is>
          <t>مكتمل</t>
        </is>
      </c>
      <c r="H102" s="4" t="n">
        <v>1</v>
      </c>
    </row>
    <row r="103">
      <c r="A103" s="2" t="inlineStr">
        <is>
          <t>TSK-0102</t>
        </is>
      </c>
      <c r="B103" s="2" t="inlineStr">
        <is>
          <t>الموارد البشرية</t>
        </is>
      </c>
      <c r="C103" s="2" t="inlineStr">
        <is>
          <t>موظف تجريبي ك</t>
        </is>
      </c>
      <c r="D103" s="2" t="inlineStr">
        <is>
          <t>أرشفة المراسلات</t>
        </is>
      </c>
      <c r="E103" s="2" t="inlineStr">
        <is>
          <t>يوليو</t>
        </is>
      </c>
      <c r="F103" s="3" t="n">
        <v>46593</v>
      </c>
      <c r="G103" s="2" t="inlineStr">
        <is>
          <t>مكتمل</t>
        </is>
      </c>
      <c r="H103" s="4" t="n">
        <v>1</v>
      </c>
    </row>
    <row r="104">
      <c r="A104" s="2" t="inlineStr">
        <is>
          <t>TSK-0103</t>
        </is>
      </c>
      <c r="B104" s="2" t="inlineStr">
        <is>
          <t>الشؤون التنفيذية</t>
        </is>
      </c>
      <c r="C104" s="2" t="inlineStr">
        <is>
          <t>موظف تجريبي أ</t>
        </is>
      </c>
      <c r="D104" s="2" t="inlineStr">
        <is>
          <t>متابعة طلب شراء</t>
        </is>
      </c>
      <c r="E104" s="2" t="inlineStr">
        <is>
          <t>أغسطس</t>
        </is>
      </c>
      <c r="F104" s="3" t="n">
        <v>46619</v>
      </c>
      <c r="G104" s="2" t="inlineStr">
        <is>
          <t>مكتمل</t>
        </is>
      </c>
      <c r="H104" s="4" t="n">
        <v>1</v>
      </c>
    </row>
    <row r="105">
      <c r="A105" s="2" t="inlineStr">
        <is>
          <t>TSK-0104</t>
        </is>
      </c>
      <c r="B105" s="2" t="inlineStr">
        <is>
          <t>الشؤون التنفيذية</t>
        </is>
      </c>
      <c r="C105" s="2" t="inlineStr">
        <is>
          <t>موظف تجريبي ب</t>
        </is>
      </c>
      <c r="D105" s="2" t="inlineStr">
        <is>
          <t>تحديث خطة التدريب</t>
        </is>
      </c>
      <c r="E105" s="2" t="inlineStr">
        <is>
          <t>أغسطس</t>
        </is>
      </c>
      <c r="F105" s="3" t="n">
        <v>46621</v>
      </c>
      <c r="G105" s="2" t="inlineStr">
        <is>
          <t>متأخر</t>
        </is>
      </c>
      <c r="H105" s="4" t="n">
        <v>0.1</v>
      </c>
    </row>
    <row r="106">
      <c r="A106" s="2" t="inlineStr">
        <is>
          <t>TSK-0105</t>
        </is>
      </c>
      <c r="B106" s="2" t="inlineStr">
        <is>
          <t>الشؤون التنفيذية</t>
        </is>
      </c>
      <c r="C106" s="2" t="inlineStr">
        <is>
          <t>موظف تجريبي ب</t>
        </is>
      </c>
      <c r="D106" s="2" t="inlineStr">
        <is>
          <t>تحديث قائمة جهات الاتصال</t>
        </is>
      </c>
      <c r="E106" s="2" t="inlineStr">
        <is>
          <t>أغسطس</t>
        </is>
      </c>
      <c r="F106" s="3" t="n">
        <v>46609</v>
      </c>
      <c r="G106" s="2" t="inlineStr">
        <is>
          <t>قيد التنفيذ</t>
        </is>
      </c>
      <c r="H106" s="4" t="n">
        <v>0.85</v>
      </c>
    </row>
    <row r="107">
      <c r="A107" s="2" t="inlineStr">
        <is>
          <t>TSK-0106</t>
        </is>
      </c>
      <c r="B107" s="2" t="inlineStr">
        <is>
          <t>العمليات</t>
        </is>
      </c>
      <c r="C107" s="2" t="inlineStr">
        <is>
          <t>موظف تجريبي ج</t>
        </is>
      </c>
      <c r="D107" s="2" t="inlineStr">
        <is>
          <t>مراجعة مسودة إجراء</t>
        </is>
      </c>
      <c r="E107" s="2" t="inlineStr">
        <is>
          <t>أغسطس</t>
        </is>
      </c>
      <c r="F107" s="3" t="n">
        <v>46620</v>
      </c>
      <c r="G107" s="2" t="inlineStr">
        <is>
          <t>مكتمل</t>
        </is>
      </c>
      <c r="H107" s="4" t="n">
        <v>1</v>
      </c>
    </row>
    <row r="108">
      <c r="A108" s="2" t="inlineStr">
        <is>
          <t>TSK-0107</t>
        </is>
      </c>
      <c r="B108" s="2" t="inlineStr">
        <is>
          <t>العمليات</t>
        </is>
      </c>
      <c r="C108" s="2" t="inlineStr">
        <is>
          <t>موظف تجريبي د</t>
        </is>
      </c>
      <c r="D108" s="2" t="inlineStr">
        <is>
          <t>مراجعة مسودة إجراء</t>
        </is>
      </c>
      <c r="E108" s="2" t="inlineStr">
        <is>
          <t>أغسطس</t>
        </is>
      </c>
      <c r="F108" s="3" t="n">
        <v>46626</v>
      </c>
      <c r="G108" s="2" t="inlineStr">
        <is>
          <t>متأخر</t>
        </is>
      </c>
      <c r="H108" s="4" t="n">
        <v>0.1</v>
      </c>
    </row>
    <row r="109">
      <c r="A109" s="2" t="inlineStr">
        <is>
          <t>TSK-0108</t>
        </is>
      </c>
      <c r="B109" s="2" t="inlineStr">
        <is>
          <t>العمليات</t>
        </is>
      </c>
      <c r="C109" s="2" t="inlineStr">
        <is>
          <t>موظف تجريبي هـ</t>
        </is>
      </c>
      <c r="D109" s="2" t="inlineStr">
        <is>
          <t>تحديث خطة التدريب</t>
        </is>
      </c>
      <c r="E109" s="2" t="inlineStr">
        <is>
          <t>أغسطس</t>
        </is>
      </c>
      <c r="F109" s="3" t="n">
        <v>46621</v>
      </c>
      <c r="G109" s="2" t="inlineStr">
        <is>
          <t>مكتمل</t>
        </is>
      </c>
      <c r="H109" s="4" t="n">
        <v>1</v>
      </c>
    </row>
    <row r="110">
      <c r="A110" s="2" t="inlineStr">
        <is>
          <t>TSK-0109</t>
        </is>
      </c>
      <c r="B110" s="2" t="inlineStr">
        <is>
          <t>العمليات</t>
        </is>
      </c>
      <c r="C110" s="2" t="inlineStr">
        <is>
          <t>موظف تجريبي هـ</t>
        </is>
      </c>
      <c r="D110" s="2" t="inlineStr">
        <is>
          <t>متابعة طلب شراء</t>
        </is>
      </c>
      <c r="E110" s="2" t="inlineStr">
        <is>
          <t>أغسطس</t>
        </is>
      </c>
      <c r="F110" s="3" t="n">
        <v>46618</v>
      </c>
      <c r="G110" s="2" t="inlineStr">
        <is>
          <t>قيد التنفيذ</t>
        </is>
      </c>
      <c r="H110" s="4" t="n">
        <v>0.7</v>
      </c>
    </row>
    <row r="111">
      <c r="A111" s="2" t="inlineStr">
        <is>
          <t>TSK-0110</t>
        </is>
      </c>
      <c r="B111" s="2" t="inlineStr">
        <is>
          <t>الاتصال المؤسسي</t>
        </is>
      </c>
      <c r="C111" s="2" t="inlineStr">
        <is>
          <t>موظف تجريبي و</t>
        </is>
      </c>
      <c r="D111" s="2" t="inlineStr">
        <is>
          <t>مراجعة مسودة إجراء</t>
        </is>
      </c>
      <c r="E111" s="2" t="inlineStr">
        <is>
          <t>أغسطس</t>
        </is>
      </c>
      <c r="F111" s="3" t="n">
        <v>46605</v>
      </c>
      <c r="G111" s="2" t="inlineStr">
        <is>
          <t>قيد التنفيذ</t>
        </is>
      </c>
      <c r="H111" s="4" t="n">
        <v>0.25</v>
      </c>
    </row>
    <row r="112">
      <c r="A112" s="2" t="inlineStr">
        <is>
          <t>TSK-0111</t>
        </is>
      </c>
      <c r="B112" s="2" t="inlineStr">
        <is>
          <t>الاتصال المؤسسي</t>
        </is>
      </c>
      <c r="C112" s="2" t="inlineStr">
        <is>
          <t>موظف تجريبي و</t>
        </is>
      </c>
      <c r="D112" s="2" t="inlineStr">
        <is>
          <t>تجهيز مواد اجتماع</t>
        </is>
      </c>
      <c r="E112" s="2" t="inlineStr">
        <is>
          <t>أغسطس</t>
        </is>
      </c>
      <c r="F112" s="3" t="n">
        <v>46612</v>
      </c>
      <c r="G112" s="2" t="inlineStr">
        <is>
          <t>قيد التنفيذ</t>
        </is>
      </c>
      <c r="H112" s="4" t="n">
        <v>0.55</v>
      </c>
    </row>
    <row r="113">
      <c r="A113" s="2" t="inlineStr">
        <is>
          <t>TSK-0112</t>
        </is>
      </c>
      <c r="B113" s="2" t="inlineStr">
        <is>
          <t>الاتصال المؤسسي</t>
        </is>
      </c>
      <c r="C113" s="2" t="inlineStr">
        <is>
          <t>موظف تجريبي ز</t>
        </is>
      </c>
      <c r="D113" s="2" t="inlineStr">
        <is>
          <t>إعداد عرض تقديمي</t>
        </is>
      </c>
      <c r="E113" s="2" t="inlineStr">
        <is>
          <t>أغسطس</t>
        </is>
      </c>
      <c r="F113" s="3" t="n">
        <v>46603</v>
      </c>
      <c r="G113" s="2" t="inlineStr">
        <is>
          <t>مكتمل</t>
        </is>
      </c>
      <c r="H113" s="4" t="n">
        <v>1</v>
      </c>
    </row>
    <row r="114">
      <c r="A114" s="2" t="inlineStr">
        <is>
          <t>TSK-0113</t>
        </is>
      </c>
      <c r="B114" s="2" t="inlineStr">
        <is>
          <t>المشتريات</t>
        </is>
      </c>
      <c r="C114" s="2" t="inlineStr">
        <is>
          <t>موظف تجريبي ح</t>
        </is>
      </c>
      <c r="D114" s="2" t="inlineStr">
        <is>
          <t>تحديث سجل المتابعة</t>
        </is>
      </c>
      <c r="E114" s="2" t="inlineStr">
        <is>
          <t>أغسطس</t>
        </is>
      </c>
      <c r="F114" s="3" t="n">
        <v>46602</v>
      </c>
      <c r="G114" s="2" t="inlineStr">
        <is>
          <t>مكتمل</t>
        </is>
      </c>
      <c r="H114" s="4" t="n">
        <v>1</v>
      </c>
    </row>
    <row r="115">
      <c r="A115" s="2" t="inlineStr">
        <is>
          <t>TSK-0114</t>
        </is>
      </c>
      <c r="B115" s="2" t="inlineStr">
        <is>
          <t>المشتريات</t>
        </is>
      </c>
      <c r="C115" s="2" t="inlineStr">
        <is>
          <t>موظف تجريبي ط</t>
        </is>
      </c>
      <c r="D115" s="2" t="inlineStr">
        <is>
          <t>تجهيز مواد اجتماع</t>
        </is>
      </c>
      <c r="E115" s="2" t="inlineStr">
        <is>
          <t>أغسطس</t>
        </is>
      </c>
      <c r="F115" s="3" t="n">
        <v>46605</v>
      </c>
      <c r="G115" s="2" t="inlineStr">
        <is>
          <t>مكتمل</t>
        </is>
      </c>
      <c r="H115" s="4" t="n">
        <v>1</v>
      </c>
    </row>
    <row r="116">
      <c r="A116" s="2" t="inlineStr">
        <is>
          <t>TSK-0115</t>
        </is>
      </c>
      <c r="B116" s="2" t="inlineStr">
        <is>
          <t>المشتريات</t>
        </is>
      </c>
      <c r="C116" s="2" t="inlineStr">
        <is>
          <t>موظف تجريبي ط</t>
        </is>
      </c>
      <c r="D116" s="2" t="inlineStr">
        <is>
          <t>تحديث مصفوفة الصلاحيات</t>
        </is>
      </c>
      <c r="E116" s="2" t="inlineStr">
        <is>
          <t>أغسطس</t>
        </is>
      </c>
      <c r="F116" s="3" t="n">
        <v>46611</v>
      </c>
      <c r="G116" s="2" t="inlineStr">
        <is>
          <t>مكتمل</t>
        </is>
      </c>
      <c r="H116" s="4" t="n">
        <v>1</v>
      </c>
    </row>
    <row r="117">
      <c r="A117" s="2" t="inlineStr">
        <is>
          <t>TSK-0116</t>
        </is>
      </c>
      <c r="B117" s="2" t="inlineStr">
        <is>
          <t>الموارد البشرية</t>
        </is>
      </c>
      <c r="C117" s="2" t="inlineStr">
        <is>
          <t>موظف تجريبي ي</t>
        </is>
      </c>
      <c r="D117" s="2" t="inlineStr">
        <is>
          <t>إعداد ملخص تنفيذي</t>
        </is>
      </c>
      <c r="E117" s="2" t="inlineStr">
        <is>
          <t>أغسطس</t>
        </is>
      </c>
      <c r="F117" s="3" t="n">
        <v>46606</v>
      </c>
      <c r="G117" s="2" t="inlineStr">
        <is>
          <t>مكتمل</t>
        </is>
      </c>
      <c r="H117" s="4" t="n">
        <v>1</v>
      </c>
    </row>
    <row r="118">
      <c r="A118" s="2" t="inlineStr">
        <is>
          <t>TSK-0117</t>
        </is>
      </c>
      <c r="B118" s="2" t="inlineStr">
        <is>
          <t>الموارد البشرية</t>
        </is>
      </c>
      <c r="C118" s="2" t="inlineStr">
        <is>
          <t>موظف تجريبي ك</t>
        </is>
      </c>
      <c r="D118" s="2" t="inlineStr">
        <is>
          <t>مراجعة مسودة إجراء</t>
        </is>
      </c>
      <c r="E118" s="2" t="inlineStr">
        <is>
          <t>أغسطس</t>
        </is>
      </c>
      <c r="F118" s="3" t="n">
        <v>46615</v>
      </c>
      <c r="G118" s="2" t="inlineStr">
        <is>
          <t>مكتمل</t>
        </is>
      </c>
      <c r="H118" s="4" t="n">
        <v>1</v>
      </c>
    </row>
    <row r="119">
      <c r="A119" s="2" t="inlineStr">
        <is>
          <t>TSK-0118</t>
        </is>
      </c>
      <c r="B119" s="2" t="inlineStr">
        <is>
          <t>الشؤون التنفيذية</t>
        </is>
      </c>
      <c r="C119" s="2" t="inlineStr">
        <is>
          <t>موظف تجريبي أ</t>
        </is>
      </c>
      <c r="D119" s="2" t="inlineStr">
        <is>
          <t>تحديث سجل المتابعة</t>
        </is>
      </c>
      <c r="E119" s="2" t="inlineStr">
        <is>
          <t>سبتمبر</t>
        </is>
      </c>
      <c r="F119" s="3" t="n">
        <v>46652</v>
      </c>
      <c r="G119" s="2" t="inlineStr">
        <is>
          <t>مكتمل</t>
        </is>
      </c>
      <c r="H119" s="4" t="n">
        <v>1</v>
      </c>
    </row>
    <row r="120">
      <c r="A120" s="2" t="inlineStr">
        <is>
          <t>TSK-0119</t>
        </is>
      </c>
      <c r="B120" s="2" t="inlineStr">
        <is>
          <t>الشؤون التنفيذية</t>
        </is>
      </c>
      <c r="C120" s="2" t="inlineStr">
        <is>
          <t>موظف تجريبي أ</t>
        </is>
      </c>
      <c r="D120" s="2" t="inlineStr">
        <is>
          <t>مراجعة مسودة إجراء</t>
        </is>
      </c>
      <c r="E120" s="2" t="inlineStr">
        <is>
          <t>سبتمبر</t>
        </is>
      </c>
      <c r="F120" s="3" t="n">
        <v>46650</v>
      </c>
      <c r="G120" s="2" t="inlineStr">
        <is>
          <t>مكتمل</t>
        </is>
      </c>
      <c r="H120" s="4" t="n">
        <v>1</v>
      </c>
    </row>
    <row r="121">
      <c r="A121" s="2" t="inlineStr">
        <is>
          <t>TSK-0120</t>
        </is>
      </c>
      <c r="B121" s="2" t="inlineStr">
        <is>
          <t>الشؤون التنفيذية</t>
        </is>
      </c>
      <c r="C121" s="2" t="inlineStr">
        <is>
          <t>موظف تجريبي ب</t>
        </is>
      </c>
      <c r="D121" s="2" t="inlineStr">
        <is>
          <t>تحديث سجل المتابعة</t>
        </is>
      </c>
      <c r="E121" s="2" t="inlineStr">
        <is>
          <t>سبتمبر</t>
        </is>
      </c>
      <c r="F121" s="3" t="n">
        <v>46641</v>
      </c>
      <c r="G121" s="2" t="inlineStr">
        <is>
          <t>مكتمل</t>
        </is>
      </c>
      <c r="H121" s="4" t="n">
        <v>1</v>
      </c>
    </row>
    <row r="122">
      <c r="A122" s="2" t="inlineStr">
        <is>
          <t>TSK-0121</t>
        </is>
      </c>
      <c r="B122" s="2" t="inlineStr">
        <is>
          <t>العمليات</t>
        </is>
      </c>
      <c r="C122" s="2" t="inlineStr">
        <is>
          <t>موظف تجريبي ج</t>
        </is>
      </c>
      <c r="D122" s="2" t="inlineStr">
        <is>
          <t>إعداد ملخص تنفيذي</t>
        </is>
      </c>
      <c r="E122" s="2" t="inlineStr">
        <is>
          <t>سبتمبر</t>
        </is>
      </c>
      <c r="F122" s="3" t="n">
        <v>46657</v>
      </c>
      <c r="G122" s="2" t="inlineStr">
        <is>
          <t>قيد التنفيذ</t>
        </is>
      </c>
      <c r="H122" s="4" t="n">
        <v>0.85</v>
      </c>
    </row>
    <row r="123">
      <c r="A123" s="2" t="inlineStr">
        <is>
          <t>TSK-0122</t>
        </is>
      </c>
      <c r="B123" s="2" t="inlineStr">
        <is>
          <t>العمليات</t>
        </is>
      </c>
      <c r="C123" s="2" t="inlineStr">
        <is>
          <t>موظف تجريبي د</t>
        </is>
      </c>
      <c r="D123" s="2" t="inlineStr">
        <is>
          <t>تجهيز مواد اجتماع</t>
        </is>
      </c>
      <c r="E123" s="2" t="inlineStr">
        <is>
          <t>سبتمبر</t>
        </is>
      </c>
      <c r="F123" s="3" t="n">
        <v>46649</v>
      </c>
      <c r="G123" s="2" t="inlineStr">
        <is>
          <t>مكتمل</t>
        </is>
      </c>
      <c r="H123" s="4" t="n">
        <v>1</v>
      </c>
    </row>
    <row r="124">
      <c r="A124" s="2" t="inlineStr">
        <is>
          <t>TSK-0123</t>
        </is>
      </c>
      <c r="B124" s="2" t="inlineStr">
        <is>
          <t>العمليات</t>
        </is>
      </c>
      <c r="C124" s="2" t="inlineStr">
        <is>
          <t>موظف تجريبي هـ</t>
        </is>
      </c>
      <c r="D124" s="2" t="inlineStr">
        <is>
          <t>أرشفة المراسلات</t>
        </is>
      </c>
      <c r="E124" s="2" t="inlineStr">
        <is>
          <t>سبتمبر</t>
        </is>
      </c>
      <c r="F124" s="3" t="n">
        <v>46653</v>
      </c>
      <c r="G124" s="2" t="inlineStr">
        <is>
          <t>مكتمل</t>
        </is>
      </c>
      <c r="H124" s="4" t="n">
        <v>1</v>
      </c>
    </row>
    <row r="125">
      <c r="A125" s="2" t="inlineStr">
        <is>
          <t>TSK-0124</t>
        </is>
      </c>
      <c r="B125" s="2" t="inlineStr">
        <is>
          <t>العمليات</t>
        </is>
      </c>
      <c r="C125" s="2" t="inlineStr">
        <is>
          <t>موظف تجريبي هـ</t>
        </is>
      </c>
      <c r="D125" s="2" t="inlineStr">
        <is>
          <t>تجهيز مواد اجتماع</t>
        </is>
      </c>
      <c r="E125" s="2" t="inlineStr">
        <is>
          <t>سبتمبر</t>
        </is>
      </c>
      <c r="F125" s="3" t="n">
        <v>46654</v>
      </c>
      <c r="G125" s="2" t="inlineStr">
        <is>
          <t>مكتمل</t>
        </is>
      </c>
      <c r="H125" s="4" t="n">
        <v>1</v>
      </c>
    </row>
    <row r="126">
      <c r="A126" s="2" t="inlineStr">
        <is>
          <t>TSK-0125</t>
        </is>
      </c>
      <c r="B126" s="2" t="inlineStr">
        <is>
          <t>الاتصال المؤسسي</t>
        </is>
      </c>
      <c r="C126" s="2" t="inlineStr">
        <is>
          <t>موظف تجريبي و</t>
        </is>
      </c>
      <c r="D126" s="2" t="inlineStr">
        <is>
          <t>مراجعة مسودة إجراء</t>
        </is>
      </c>
      <c r="E126" s="2" t="inlineStr">
        <is>
          <t>سبتمبر</t>
        </is>
      </c>
      <c r="F126" s="3" t="n">
        <v>46646</v>
      </c>
      <c r="G126" s="2" t="inlineStr">
        <is>
          <t>متأخر</t>
        </is>
      </c>
      <c r="H126" s="4" t="n">
        <v>0.1</v>
      </c>
    </row>
    <row r="127">
      <c r="A127" s="2" t="inlineStr">
        <is>
          <t>TSK-0126</t>
        </is>
      </c>
      <c r="B127" s="2" t="inlineStr">
        <is>
          <t>الاتصال المؤسسي</t>
        </is>
      </c>
      <c r="C127" s="2" t="inlineStr">
        <is>
          <t>موظف تجريبي ز</t>
        </is>
      </c>
      <c r="D127" s="2" t="inlineStr">
        <is>
          <t>مراجعة مسودة إجراء</t>
        </is>
      </c>
      <c r="E127" s="2" t="inlineStr">
        <is>
          <t>سبتمبر</t>
        </is>
      </c>
      <c r="F127" s="3" t="n">
        <v>46644</v>
      </c>
      <c r="G127" s="2" t="inlineStr">
        <is>
          <t>مكتمل</t>
        </is>
      </c>
      <c r="H127" s="4" t="n">
        <v>1</v>
      </c>
    </row>
    <row r="128">
      <c r="A128" s="2" t="inlineStr">
        <is>
          <t>TSK-0127</t>
        </is>
      </c>
      <c r="B128" s="2" t="inlineStr">
        <is>
          <t>المشتريات</t>
        </is>
      </c>
      <c r="C128" s="2" t="inlineStr">
        <is>
          <t>موظف تجريبي ح</t>
        </is>
      </c>
      <c r="D128" s="2" t="inlineStr">
        <is>
          <t>تحديث مصفوفة الصلاحيات</t>
        </is>
      </c>
      <c r="E128" s="2" t="inlineStr">
        <is>
          <t>سبتمبر</t>
        </is>
      </c>
      <c r="F128" s="3" t="n">
        <v>46636</v>
      </c>
      <c r="G128" s="2" t="inlineStr">
        <is>
          <t>قيد التنفيذ</t>
        </is>
      </c>
      <c r="H128" s="4" t="n">
        <v>0.25</v>
      </c>
    </row>
    <row r="129">
      <c r="A129" s="2" t="inlineStr">
        <is>
          <t>TSK-0128</t>
        </is>
      </c>
      <c r="B129" s="2" t="inlineStr">
        <is>
          <t>المشتريات</t>
        </is>
      </c>
      <c r="C129" s="2" t="inlineStr">
        <is>
          <t>موظف تجريبي ط</t>
        </is>
      </c>
      <c r="D129" s="2" t="inlineStr">
        <is>
          <t>إعداد تقرير شهري</t>
        </is>
      </c>
      <c r="E129" s="2" t="inlineStr">
        <is>
          <t>سبتمبر</t>
        </is>
      </c>
      <c r="F129" s="3" t="n">
        <v>46638</v>
      </c>
      <c r="G129" s="2" t="inlineStr">
        <is>
          <t>متأخر</t>
        </is>
      </c>
      <c r="H129" s="4" t="n">
        <v>0.35</v>
      </c>
    </row>
    <row r="130">
      <c r="A130" s="2" t="inlineStr">
        <is>
          <t>TSK-0129</t>
        </is>
      </c>
      <c r="B130" s="2" t="inlineStr">
        <is>
          <t>الموارد البشرية</t>
        </is>
      </c>
      <c r="C130" s="2" t="inlineStr">
        <is>
          <t>موظف تجريبي ي</t>
        </is>
      </c>
      <c r="D130" s="2" t="inlineStr">
        <is>
          <t>تحديث قائمة جهات الاتصال</t>
        </is>
      </c>
      <c r="E130" s="2" t="inlineStr">
        <is>
          <t>سبتمبر</t>
        </is>
      </c>
      <c r="F130" s="3" t="n">
        <v>46636</v>
      </c>
      <c r="G130" s="2" t="inlineStr">
        <is>
          <t>مكتمل</t>
        </is>
      </c>
      <c r="H130" s="4" t="n">
        <v>1</v>
      </c>
    </row>
    <row r="131">
      <c r="A131" s="2" t="inlineStr">
        <is>
          <t>TSK-0130</t>
        </is>
      </c>
      <c r="B131" s="2" t="inlineStr">
        <is>
          <t>الموارد البشرية</t>
        </is>
      </c>
      <c r="C131" s="2" t="inlineStr">
        <is>
          <t>موظف تجريبي ي</t>
        </is>
      </c>
      <c r="D131" s="2" t="inlineStr">
        <is>
          <t>إعداد ملخص تنفيذي</t>
        </is>
      </c>
      <c r="E131" s="2" t="inlineStr">
        <is>
          <t>سبتمبر</t>
        </is>
      </c>
      <c r="F131" s="3" t="n">
        <v>46645</v>
      </c>
      <c r="G131" s="2" t="inlineStr">
        <is>
          <t>مكتمل</t>
        </is>
      </c>
      <c r="H131" s="4" t="n">
        <v>1</v>
      </c>
    </row>
    <row r="132">
      <c r="A132" s="2" t="inlineStr">
        <is>
          <t>TSK-0131</t>
        </is>
      </c>
      <c r="B132" s="2" t="inlineStr">
        <is>
          <t>الموارد البشرية</t>
        </is>
      </c>
      <c r="C132" s="2" t="inlineStr">
        <is>
          <t>موظف تجريبي ك</t>
        </is>
      </c>
      <c r="D132" s="2" t="inlineStr">
        <is>
          <t>تحديث قائمة جهات الاتصال</t>
        </is>
      </c>
      <c r="E132" s="2" t="inlineStr">
        <is>
          <t>سبتمبر</t>
        </is>
      </c>
      <c r="F132" s="3" t="n">
        <v>46652</v>
      </c>
      <c r="G132" s="2" t="inlineStr">
        <is>
          <t>متأخر</t>
        </is>
      </c>
      <c r="H132" s="4" t="n">
        <v>0.1</v>
      </c>
    </row>
    <row r="133">
      <c r="A133" s="2" t="inlineStr">
        <is>
          <t>TSK-0132</t>
        </is>
      </c>
      <c r="B133" s="2" t="inlineStr">
        <is>
          <t>الشؤون التنفيذية</t>
        </is>
      </c>
      <c r="C133" s="2" t="inlineStr">
        <is>
          <t>موظف تجريبي أ</t>
        </is>
      </c>
      <c r="D133" s="2" t="inlineStr">
        <is>
          <t>إعداد ملخص تنفيذي</t>
        </is>
      </c>
      <c r="E133" s="2" t="inlineStr">
        <is>
          <t>أكتوبر</t>
        </is>
      </c>
      <c r="F133" s="3" t="n">
        <v>46681</v>
      </c>
      <c r="G133" s="2" t="inlineStr">
        <is>
          <t>مكتمل</t>
        </is>
      </c>
      <c r="H133" s="4" t="n">
        <v>1</v>
      </c>
    </row>
    <row r="134">
      <c r="A134" s="2" t="inlineStr">
        <is>
          <t>TSK-0133</t>
        </is>
      </c>
      <c r="B134" s="2" t="inlineStr">
        <is>
          <t>الشؤون التنفيذية</t>
        </is>
      </c>
      <c r="C134" s="2" t="inlineStr">
        <is>
          <t>موظف تجريبي ب</t>
        </is>
      </c>
      <c r="D134" s="2" t="inlineStr">
        <is>
          <t>متابعة طلب شراء</t>
        </is>
      </c>
      <c r="E134" s="2" t="inlineStr">
        <is>
          <t>أكتوبر</t>
        </is>
      </c>
      <c r="F134" s="3" t="n">
        <v>46666</v>
      </c>
      <c r="G134" s="2" t="inlineStr">
        <is>
          <t>مكتمل</t>
        </is>
      </c>
      <c r="H134" s="4" t="n">
        <v>1</v>
      </c>
    </row>
    <row r="135">
      <c r="A135" s="2" t="inlineStr">
        <is>
          <t>TSK-0134</t>
        </is>
      </c>
      <c r="B135" s="2" t="inlineStr">
        <is>
          <t>الشؤون التنفيذية</t>
        </is>
      </c>
      <c r="C135" s="2" t="inlineStr">
        <is>
          <t>موظف تجريبي ب</t>
        </is>
      </c>
      <c r="D135" s="2" t="inlineStr">
        <is>
          <t>إعداد ملخص تنفيذي</t>
        </is>
      </c>
      <c r="E135" s="2" t="inlineStr">
        <is>
          <t>أكتوبر</t>
        </is>
      </c>
      <c r="F135" s="3" t="n">
        <v>46684</v>
      </c>
      <c r="G135" s="2" t="inlineStr">
        <is>
          <t>مكتمل</t>
        </is>
      </c>
      <c r="H135" s="4" t="n">
        <v>1</v>
      </c>
    </row>
    <row r="136">
      <c r="A136" s="2" t="inlineStr">
        <is>
          <t>TSK-0135</t>
        </is>
      </c>
      <c r="B136" s="2" t="inlineStr">
        <is>
          <t>العمليات</t>
        </is>
      </c>
      <c r="C136" s="2" t="inlineStr">
        <is>
          <t>موظف تجريبي ج</t>
        </is>
      </c>
      <c r="D136" s="2" t="inlineStr">
        <is>
          <t>متابعة طلب شراء</t>
        </is>
      </c>
      <c r="E136" s="2" t="inlineStr">
        <is>
          <t>أكتوبر</t>
        </is>
      </c>
      <c r="F136" s="3" t="n">
        <v>46677</v>
      </c>
      <c r="G136" s="2" t="inlineStr">
        <is>
          <t>مكتمل</t>
        </is>
      </c>
      <c r="H136" s="4" t="n">
        <v>1</v>
      </c>
    </row>
    <row r="137">
      <c r="A137" s="2" t="inlineStr">
        <is>
          <t>TSK-0136</t>
        </is>
      </c>
      <c r="B137" s="2" t="inlineStr">
        <is>
          <t>العمليات</t>
        </is>
      </c>
      <c r="C137" s="2" t="inlineStr">
        <is>
          <t>موظف تجريبي د</t>
        </is>
      </c>
      <c r="D137" s="2" t="inlineStr">
        <is>
          <t>مراجعة مسودة إجراء</t>
        </is>
      </c>
      <c r="E137" s="2" t="inlineStr">
        <is>
          <t>أكتوبر</t>
        </is>
      </c>
      <c r="F137" s="3" t="n">
        <v>46680</v>
      </c>
      <c r="G137" s="2" t="inlineStr">
        <is>
          <t>مكتمل</t>
        </is>
      </c>
      <c r="H137" s="4" t="n">
        <v>1</v>
      </c>
    </row>
    <row r="138">
      <c r="A138" s="2" t="inlineStr">
        <is>
          <t>TSK-0137</t>
        </is>
      </c>
      <c r="B138" s="2" t="inlineStr">
        <is>
          <t>العمليات</t>
        </is>
      </c>
      <c r="C138" s="2" t="inlineStr">
        <is>
          <t>موظف تجريبي هـ</t>
        </is>
      </c>
      <c r="D138" s="2" t="inlineStr">
        <is>
          <t>متابعة طلب شراء</t>
        </is>
      </c>
      <c r="E138" s="2" t="inlineStr">
        <is>
          <t>أكتوبر</t>
        </is>
      </c>
      <c r="F138" s="3" t="n">
        <v>46671</v>
      </c>
      <c r="G138" s="2" t="inlineStr">
        <is>
          <t>مكتمل</t>
        </is>
      </c>
      <c r="H138" s="4" t="n">
        <v>1</v>
      </c>
    </row>
    <row r="139">
      <c r="A139" s="2" t="inlineStr">
        <is>
          <t>TSK-0138</t>
        </is>
      </c>
      <c r="B139" s="2" t="inlineStr">
        <is>
          <t>الاتصال المؤسسي</t>
        </is>
      </c>
      <c r="C139" s="2" t="inlineStr">
        <is>
          <t>موظف تجريبي و</t>
        </is>
      </c>
      <c r="D139" s="2" t="inlineStr">
        <is>
          <t>إعداد تقرير شهري</t>
        </is>
      </c>
      <c r="E139" s="2" t="inlineStr">
        <is>
          <t>أكتوبر</t>
        </is>
      </c>
      <c r="F139" s="3" t="n">
        <v>46674</v>
      </c>
      <c r="G139" s="2" t="inlineStr">
        <is>
          <t>مكتمل</t>
        </is>
      </c>
      <c r="H139" s="4" t="n">
        <v>1</v>
      </c>
    </row>
    <row r="140">
      <c r="A140" s="2" t="inlineStr">
        <is>
          <t>TSK-0139</t>
        </is>
      </c>
      <c r="B140" s="2" t="inlineStr">
        <is>
          <t>الاتصال المؤسسي</t>
        </is>
      </c>
      <c r="C140" s="2" t="inlineStr">
        <is>
          <t>موظف تجريبي ز</t>
        </is>
      </c>
      <c r="D140" s="2" t="inlineStr">
        <is>
          <t>مراجعة محضر اجتماع</t>
        </is>
      </c>
      <c r="E140" s="2" t="inlineStr">
        <is>
          <t>أكتوبر</t>
        </is>
      </c>
      <c r="F140" s="3" t="n">
        <v>46682</v>
      </c>
      <c r="G140" s="2" t="inlineStr">
        <is>
          <t>مكتمل</t>
        </is>
      </c>
      <c r="H140" s="4" t="n">
        <v>1</v>
      </c>
    </row>
    <row r="141">
      <c r="A141" s="2" t="inlineStr">
        <is>
          <t>TSK-0140</t>
        </is>
      </c>
      <c r="B141" s="2" t="inlineStr">
        <is>
          <t>المشتريات</t>
        </is>
      </c>
      <c r="C141" s="2" t="inlineStr">
        <is>
          <t>موظف تجريبي ح</t>
        </is>
      </c>
      <c r="D141" s="2" t="inlineStr">
        <is>
          <t>إعداد عرض تقديمي</t>
        </is>
      </c>
      <c r="E141" s="2" t="inlineStr">
        <is>
          <t>أكتوبر</t>
        </is>
      </c>
      <c r="F141" s="3" t="n">
        <v>46678</v>
      </c>
      <c r="G141" s="2" t="inlineStr">
        <is>
          <t>مكتمل</t>
        </is>
      </c>
      <c r="H141" s="4" t="n">
        <v>1</v>
      </c>
    </row>
    <row r="142">
      <c r="A142" s="2" t="inlineStr">
        <is>
          <t>TSK-0141</t>
        </is>
      </c>
      <c r="B142" s="2" t="inlineStr">
        <is>
          <t>المشتريات</t>
        </is>
      </c>
      <c r="C142" s="2" t="inlineStr">
        <is>
          <t>موظف تجريبي ط</t>
        </is>
      </c>
      <c r="D142" s="2" t="inlineStr">
        <is>
          <t>مراجعة مسودة إجراء</t>
        </is>
      </c>
      <c r="E142" s="2" t="inlineStr">
        <is>
          <t>أكتوبر</t>
        </is>
      </c>
      <c r="F142" s="3" t="n">
        <v>46674</v>
      </c>
      <c r="G142" s="2" t="inlineStr">
        <is>
          <t>قيد التنفيذ</t>
        </is>
      </c>
      <c r="H142" s="4" t="n">
        <v>0.85</v>
      </c>
    </row>
    <row r="143">
      <c r="A143" s="2" t="inlineStr">
        <is>
          <t>TSK-0142</t>
        </is>
      </c>
      <c r="B143" s="2" t="inlineStr">
        <is>
          <t>المشتريات</t>
        </is>
      </c>
      <c r="C143" s="2" t="inlineStr">
        <is>
          <t>موظف تجريبي ط</t>
        </is>
      </c>
      <c r="D143" s="2" t="inlineStr">
        <is>
          <t>إعداد ملخص تنفيذي</t>
        </is>
      </c>
      <c r="E143" s="2" t="inlineStr">
        <is>
          <t>أكتوبر</t>
        </is>
      </c>
      <c r="F143" s="3" t="n">
        <v>46665</v>
      </c>
      <c r="G143" s="2" t="inlineStr">
        <is>
          <t>مكتمل</t>
        </is>
      </c>
      <c r="H143" s="4" t="n">
        <v>1</v>
      </c>
    </row>
    <row r="144">
      <c r="A144" s="2" t="inlineStr">
        <is>
          <t>TSK-0143</t>
        </is>
      </c>
      <c r="B144" s="2" t="inlineStr">
        <is>
          <t>الموارد البشرية</t>
        </is>
      </c>
      <c r="C144" s="2" t="inlineStr">
        <is>
          <t>موظف تجريبي ي</t>
        </is>
      </c>
      <c r="D144" s="2" t="inlineStr">
        <is>
          <t>تحديث مصفوفة الصلاحيات</t>
        </is>
      </c>
      <c r="E144" s="2" t="inlineStr">
        <is>
          <t>أكتوبر</t>
        </is>
      </c>
      <c r="F144" s="3" t="n">
        <v>46678</v>
      </c>
      <c r="G144" s="2" t="inlineStr">
        <is>
          <t>قيد التنفيذ</t>
        </is>
      </c>
      <c r="H144" s="4" t="n">
        <v>0.7</v>
      </c>
    </row>
    <row r="145">
      <c r="A145" s="2" t="inlineStr">
        <is>
          <t>TSK-0144</t>
        </is>
      </c>
      <c r="B145" s="2" t="inlineStr">
        <is>
          <t>الموارد البشرية</t>
        </is>
      </c>
      <c r="C145" s="2" t="inlineStr">
        <is>
          <t>موظف تجريبي ي</t>
        </is>
      </c>
      <c r="D145" s="2" t="inlineStr">
        <is>
          <t>إعداد عرض تقديمي</t>
        </is>
      </c>
      <c r="E145" s="2" t="inlineStr">
        <is>
          <t>أكتوبر</t>
        </is>
      </c>
      <c r="F145" s="3" t="n">
        <v>46677</v>
      </c>
      <c r="G145" s="2" t="inlineStr">
        <is>
          <t>قيد التنفيذ</t>
        </is>
      </c>
      <c r="H145" s="4" t="n">
        <v>0.25</v>
      </c>
    </row>
    <row r="146">
      <c r="A146" s="2" t="inlineStr">
        <is>
          <t>TSK-0145</t>
        </is>
      </c>
      <c r="B146" s="2" t="inlineStr">
        <is>
          <t>الموارد البشرية</t>
        </is>
      </c>
      <c r="C146" s="2" t="inlineStr">
        <is>
          <t>موظف تجريبي ك</t>
        </is>
      </c>
      <c r="D146" s="2" t="inlineStr">
        <is>
          <t>تحديث خطة التدريب</t>
        </is>
      </c>
      <c r="E146" s="2" t="inlineStr">
        <is>
          <t>أكتوبر</t>
        </is>
      </c>
      <c r="F146" s="3" t="n">
        <v>46682</v>
      </c>
      <c r="G146" s="2" t="inlineStr">
        <is>
          <t>متأخر</t>
        </is>
      </c>
      <c r="H146" s="4" t="n">
        <v>0.35</v>
      </c>
    </row>
    <row r="147">
      <c r="A147" s="2" t="inlineStr">
        <is>
          <t>TSK-0146</t>
        </is>
      </c>
      <c r="B147" s="2" t="inlineStr">
        <is>
          <t>الموارد البشرية</t>
        </is>
      </c>
      <c r="C147" s="2" t="inlineStr">
        <is>
          <t>موظف تجريبي ك</t>
        </is>
      </c>
      <c r="D147" s="2" t="inlineStr">
        <is>
          <t>تجهيز مواد اجتماع</t>
        </is>
      </c>
      <c r="E147" s="2" t="inlineStr">
        <is>
          <t>أكتوبر</t>
        </is>
      </c>
      <c r="F147" s="3" t="n">
        <v>46680</v>
      </c>
      <c r="G147" s="2" t="inlineStr">
        <is>
          <t>مكتمل</t>
        </is>
      </c>
      <c r="H147" s="4" t="n">
        <v>1</v>
      </c>
    </row>
    <row r="148">
      <c r="A148" s="2" t="inlineStr">
        <is>
          <t>TSK-0147</t>
        </is>
      </c>
      <c r="B148" s="2" t="inlineStr">
        <is>
          <t>الشؤون التنفيذية</t>
        </is>
      </c>
      <c r="C148" s="2" t="inlineStr">
        <is>
          <t>موظف تجريبي أ</t>
        </is>
      </c>
      <c r="D148" s="2" t="inlineStr">
        <is>
          <t>إعداد عرض تقديمي</t>
        </is>
      </c>
      <c r="E148" s="2" t="inlineStr">
        <is>
          <t>نوفمبر</t>
        </is>
      </c>
      <c r="F148" s="3" t="n">
        <v>46713</v>
      </c>
      <c r="G148" s="2" t="inlineStr">
        <is>
          <t>قيد التنفيذ</t>
        </is>
      </c>
      <c r="H148" s="4" t="n">
        <v>0.7</v>
      </c>
    </row>
    <row r="149">
      <c r="A149" s="2" t="inlineStr">
        <is>
          <t>TSK-0148</t>
        </is>
      </c>
      <c r="B149" s="2" t="inlineStr">
        <is>
          <t>الشؤون التنفيذية</t>
        </is>
      </c>
      <c r="C149" s="2" t="inlineStr">
        <is>
          <t>موظف تجريبي ب</t>
        </is>
      </c>
      <c r="D149" s="2" t="inlineStr">
        <is>
          <t>تحديث سجل المتابعة</t>
        </is>
      </c>
      <c r="E149" s="2" t="inlineStr">
        <is>
          <t>نوفمبر</t>
        </is>
      </c>
      <c r="F149" s="3" t="n">
        <v>46699</v>
      </c>
      <c r="G149" s="2" t="inlineStr">
        <is>
          <t>مكتمل</t>
        </is>
      </c>
      <c r="H149" s="4" t="n">
        <v>1</v>
      </c>
    </row>
    <row r="150">
      <c r="A150" s="2" t="inlineStr">
        <is>
          <t>TSK-0149</t>
        </is>
      </c>
      <c r="B150" s="2" t="inlineStr">
        <is>
          <t>العمليات</t>
        </is>
      </c>
      <c r="C150" s="2" t="inlineStr">
        <is>
          <t>موظف تجريبي ج</t>
        </is>
      </c>
      <c r="D150" s="2" t="inlineStr">
        <is>
          <t>تحديث مصفوفة الصلاحيات</t>
        </is>
      </c>
      <c r="E150" s="2" t="inlineStr">
        <is>
          <t>نوفمبر</t>
        </is>
      </c>
      <c r="F150" s="3" t="n">
        <v>46709</v>
      </c>
      <c r="G150" s="2" t="inlineStr">
        <is>
          <t>مكتمل</t>
        </is>
      </c>
      <c r="H150" s="4" t="n">
        <v>1</v>
      </c>
    </row>
    <row r="151">
      <c r="A151" s="2" t="inlineStr">
        <is>
          <t>TSK-0150</t>
        </is>
      </c>
      <c r="B151" s="2" t="inlineStr">
        <is>
          <t>العمليات</t>
        </is>
      </c>
      <c r="C151" s="2" t="inlineStr">
        <is>
          <t>موظف تجريبي ج</t>
        </is>
      </c>
      <c r="D151" s="2" t="inlineStr">
        <is>
          <t>تجهيز مواد اجتماع</t>
        </is>
      </c>
      <c r="E151" s="2" t="inlineStr">
        <is>
          <t>نوفمبر</t>
        </is>
      </c>
      <c r="F151" s="3" t="n">
        <v>46700</v>
      </c>
      <c r="G151" s="2" t="inlineStr">
        <is>
          <t>قيد التنفيذ</t>
        </is>
      </c>
      <c r="H151" s="4" t="n">
        <v>0.55</v>
      </c>
    </row>
    <row r="152">
      <c r="A152" s="2" t="inlineStr">
        <is>
          <t>TSK-0151</t>
        </is>
      </c>
      <c r="B152" s="2" t="inlineStr">
        <is>
          <t>العمليات</t>
        </is>
      </c>
      <c r="C152" s="2" t="inlineStr">
        <is>
          <t>موظف تجريبي د</t>
        </is>
      </c>
      <c r="D152" s="2" t="inlineStr">
        <is>
          <t>تجهيز مواد اجتماع</t>
        </is>
      </c>
      <c r="E152" s="2" t="inlineStr">
        <is>
          <t>نوفمبر</t>
        </is>
      </c>
      <c r="F152" s="3" t="n">
        <v>46707</v>
      </c>
      <c r="G152" s="2" t="inlineStr">
        <is>
          <t>مكتمل</t>
        </is>
      </c>
      <c r="H152" s="4" t="n">
        <v>1</v>
      </c>
    </row>
    <row r="153">
      <c r="A153" s="2" t="inlineStr">
        <is>
          <t>TSK-0152</t>
        </is>
      </c>
      <c r="B153" s="2" t="inlineStr">
        <is>
          <t>العمليات</t>
        </is>
      </c>
      <c r="C153" s="2" t="inlineStr">
        <is>
          <t>موظف تجريبي د</t>
        </is>
      </c>
      <c r="D153" s="2" t="inlineStr">
        <is>
          <t>تجهيز مواد اجتماع</t>
        </is>
      </c>
      <c r="E153" s="2" t="inlineStr">
        <is>
          <t>نوفمبر</t>
        </is>
      </c>
      <c r="F153" s="3" t="n">
        <v>46717</v>
      </c>
      <c r="G153" s="2" t="inlineStr">
        <is>
          <t>مكتمل</t>
        </is>
      </c>
      <c r="H153" s="4" t="n">
        <v>1</v>
      </c>
    </row>
    <row r="154">
      <c r="A154" s="2" t="inlineStr">
        <is>
          <t>TSK-0153</t>
        </is>
      </c>
      <c r="B154" s="2" t="inlineStr">
        <is>
          <t>العمليات</t>
        </is>
      </c>
      <c r="C154" s="2" t="inlineStr">
        <is>
          <t>موظف تجريبي هـ</t>
        </is>
      </c>
      <c r="D154" s="2" t="inlineStr">
        <is>
          <t>تحديث سجل المتابعة</t>
        </is>
      </c>
      <c r="E154" s="2" t="inlineStr">
        <is>
          <t>نوفمبر</t>
        </is>
      </c>
      <c r="F154" s="3" t="n">
        <v>46697</v>
      </c>
      <c r="G154" s="2" t="inlineStr">
        <is>
          <t>متأخر</t>
        </is>
      </c>
      <c r="H154" s="4" t="n">
        <v>0.1</v>
      </c>
    </row>
    <row r="155">
      <c r="A155" s="2" t="inlineStr">
        <is>
          <t>TSK-0154</t>
        </is>
      </c>
      <c r="B155" s="2" t="inlineStr">
        <is>
          <t>الاتصال المؤسسي</t>
        </is>
      </c>
      <c r="C155" s="2" t="inlineStr">
        <is>
          <t>موظف تجريبي و</t>
        </is>
      </c>
      <c r="D155" s="2" t="inlineStr">
        <is>
          <t>تحديث قائمة جهات الاتصال</t>
        </is>
      </c>
      <c r="E155" s="2" t="inlineStr">
        <is>
          <t>نوفمبر</t>
        </is>
      </c>
      <c r="F155" s="3" t="n">
        <v>46713</v>
      </c>
      <c r="G155" s="2" t="inlineStr">
        <is>
          <t>قيد التنفيذ</t>
        </is>
      </c>
      <c r="H155" s="4" t="n">
        <v>0.7</v>
      </c>
    </row>
    <row r="156">
      <c r="A156" s="2" t="inlineStr">
        <is>
          <t>TSK-0155</t>
        </is>
      </c>
      <c r="B156" s="2" t="inlineStr">
        <is>
          <t>الاتصال المؤسسي</t>
        </is>
      </c>
      <c r="C156" s="2" t="inlineStr">
        <is>
          <t>موظف تجريبي ز</t>
        </is>
      </c>
      <c r="D156" s="2" t="inlineStr">
        <is>
          <t>تحديث قائمة جهات الاتصال</t>
        </is>
      </c>
      <c r="E156" s="2" t="inlineStr">
        <is>
          <t>نوفمبر</t>
        </is>
      </c>
      <c r="F156" s="3" t="n">
        <v>46713</v>
      </c>
      <c r="G156" s="2" t="inlineStr">
        <is>
          <t>مكتمل</t>
        </is>
      </c>
      <c r="H156" s="4" t="n">
        <v>1</v>
      </c>
    </row>
    <row r="157">
      <c r="A157" s="2" t="inlineStr">
        <is>
          <t>TSK-0156</t>
        </is>
      </c>
      <c r="B157" s="2" t="inlineStr">
        <is>
          <t>المشتريات</t>
        </is>
      </c>
      <c r="C157" s="2" t="inlineStr">
        <is>
          <t>موظف تجريبي ح</t>
        </is>
      </c>
      <c r="D157" s="2" t="inlineStr">
        <is>
          <t>متابعة طلب شراء</t>
        </is>
      </c>
      <c r="E157" s="2" t="inlineStr">
        <is>
          <t>نوفمبر</t>
        </is>
      </c>
      <c r="F157" s="3" t="n">
        <v>46715</v>
      </c>
      <c r="G157" s="2" t="inlineStr">
        <is>
          <t>مكتمل</t>
        </is>
      </c>
      <c r="H157" s="4" t="n">
        <v>1</v>
      </c>
    </row>
    <row r="158">
      <c r="A158" s="2" t="inlineStr">
        <is>
          <t>TSK-0157</t>
        </is>
      </c>
      <c r="B158" s="2" t="inlineStr">
        <is>
          <t>المشتريات</t>
        </is>
      </c>
      <c r="C158" s="2" t="inlineStr">
        <is>
          <t>موظف تجريبي ح</t>
        </is>
      </c>
      <c r="D158" s="2" t="inlineStr">
        <is>
          <t>متابعة طلب شراء</t>
        </is>
      </c>
      <c r="E158" s="2" t="inlineStr">
        <is>
          <t>نوفمبر</t>
        </is>
      </c>
      <c r="F158" s="3" t="n">
        <v>46698</v>
      </c>
      <c r="G158" s="2" t="inlineStr">
        <is>
          <t>مكتمل</t>
        </is>
      </c>
      <c r="H158" s="4" t="n">
        <v>1</v>
      </c>
    </row>
    <row r="159">
      <c r="A159" s="2" t="inlineStr">
        <is>
          <t>TSK-0158</t>
        </is>
      </c>
      <c r="B159" s="2" t="inlineStr">
        <is>
          <t>المشتريات</t>
        </is>
      </c>
      <c r="C159" s="2" t="inlineStr">
        <is>
          <t>موظف تجريبي ط</t>
        </is>
      </c>
      <c r="D159" s="2" t="inlineStr">
        <is>
          <t>تحديث مصفوفة الصلاحيات</t>
        </is>
      </c>
      <c r="E159" s="2" t="inlineStr">
        <is>
          <t>نوفمبر</t>
        </is>
      </c>
      <c r="F159" s="3" t="n">
        <v>46700</v>
      </c>
      <c r="G159" s="2" t="inlineStr">
        <is>
          <t>مكتمل</t>
        </is>
      </c>
      <c r="H159" s="4" t="n">
        <v>1</v>
      </c>
    </row>
    <row r="160">
      <c r="A160" s="2" t="inlineStr">
        <is>
          <t>TSK-0159</t>
        </is>
      </c>
      <c r="B160" s="2" t="inlineStr">
        <is>
          <t>المشتريات</t>
        </is>
      </c>
      <c r="C160" s="2" t="inlineStr">
        <is>
          <t>موظف تجريبي ط</t>
        </is>
      </c>
      <c r="D160" s="2" t="inlineStr">
        <is>
          <t>إعداد عرض تقديمي</t>
        </is>
      </c>
      <c r="E160" s="2" t="inlineStr">
        <is>
          <t>نوفمبر</t>
        </is>
      </c>
      <c r="F160" s="3" t="n">
        <v>46711</v>
      </c>
      <c r="G160" s="2" t="inlineStr">
        <is>
          <t>قيد التنفيذ</t>
        </is>
      </c>
      <c r="H160" s="4" t="n">
        <v>0.85</v>
      </c>
    </row>
    <row r="161">
      <c r="A161" s="2" t="inlineStr">
        <is>
          <t>TSK-0160</t>
        </is>
      </c>
      <c r="B161" s="2" t="inlineStr">
        <is>
          <t>الموارد البشرية</t>
        </is>
      </c>
      <c r="C161" s="2" t="inlineStr">
        <is>
          <t>موظف تجريبي ي</t>
        </is>
      </c>
      <c r="D161" s="2" t="inlineStr">
        <is>
          <t>تجهيز مواد اجتماع</t>
        </is>
      </c>
      <c r="E161" s="2" t="inlineStr">
        <is>
          <t>نوفمبر</t>
        </is>
      </c>
      <c r="F161" s="3" t="n">
        <v>46699</v>
      </c>
      <c r="G161" s="2" t="inlineStr">
        <is>
          <t>مكتمل</t>
        </is>
      </c>
      <c r="H161" s="4" t="n">
        <v>1</v>
      </c>
    </row>
    <row r="162">
      <c r="A162" s="2" t="inlineStr">
        <is>
          <t>TSK-0161</t>
        </is>
      </c>
      <c r="B162" s="2" t="inlineStr">
        <is>
          <t>الموارد البشرية</t>
        </is>
      </c>
      <c r="C162" s="2" t="inlineStr">
        <is>
          <t>موظف تجريبي ك</t>
        </is>
      </c>
      <c r="D162" s="2" t="inlineStr">
        <is>
          <t>تحديث قائمة جهات الاتصال</t>
        </is>
      </c>
      <c r="E162" s="2" t="inlineStr">
        <is>
          <t>نوفمبر</t>
        </is>
      </c>
      <c r="F162" s="3" t="n">
        <v>46700</v>
      </c>
      <c r="G162" s="2" t="inlineStr">
        <is>
          <t>مكتمل</t>
        </is>
      </c>
      <c r="H162" s="4" t="n">
        <v>1</v>
      </c>
    </row>
    <row r="163">
      <c r="A163" s="2" t="inlineStr">
        <is>
          <t>TSK-0162</t>
        </is>
      </c>
      <c r="B163" s="2" t="inlineStr">
        <is>
          <t>الموارد البشرية</t>
        </is>
      </c>
      <c r="C163" s="2" t="inlineStr">
        <is>
          <t>موظف تجريبي ك</t>
        </is>
      </c>
      <c r="D163" s="2" t="inlineStr">
        <is>
          <t>تحديث خطة التدريب</t>
        </is>
      </c>
      <c r="E163" s="2" t="inlineStr">
        <is>
          <t>نوفمبر</t>
        </is>
      </c>
      <c r="F163" s="3" t="n">
        <v>46697</v>
      </c>
      <c r="G163" s="2" t="inlineStr">
        <is>
          <t>مكتمل</t>
        </is>
      </c>
      <c r="H163" s="4" t="n">
        <v>1</v>
      </c>
    </row>
    <row r="164">
      <c r="A164" s="2" t="inlineStr">
        <is>
          <t>TSK-0163</t>
        </is>
      </c>
      <c r="B164" s="2" t="inlineStr">
        <is>
          <t>الشؤون التنفيذية</t>
        </is>
      </c>
      <c r="C164" s="2" t="inlineStr">
        <is>
          <t>موظف تجريبي أ</t>
        </is>
      </c>
      <c r="D164" s="2" t="inlineStr">
        <is>
          <t>تحديث قائمة جهات الاتصال</t>
        </is>
      </c>
      <c r="E164" s="2" t="inlineStr">
        <is>
          <t>ديسمبر</t>
        </is>
      </c>
      <c r="F164" s="3" t="n">
        <v>46731</v>
      </c>
      <c r="G164" s="2" t="inlineStr">
        <is>
          <t>مكتمل</t>
        </is>
      </c>
      <c r="H164" s="4" t="n">
        <v>1</v>
      </c>
    </row>
    <row r="165">
      <c r="A165" s="2" t="inlineStr">
        <is>
          <t>TSK-0164</t>
        </is>
      </c>
      <c r="B165" s="2" t="inlineStr">
        <is>
          <t>الشؤون التنفيذية</t>
        </is>
      </c>
      <c r="C165" s="2" t="inlineStr">
        <is>
          <t>موظف تجريبي أ</t>
        </is>
      </c>
      <c r="D165" s="2" t="inlineStr">
        <is>
          <t>تجهيز مواد اجتماع</t>
        </is>
      </c>
      <c r="E165" s="2" t="inlineStr">
        <is>
          <t>ديسمبر</t>
        </is>
      </c>
      <c r="F165" s="3" t="n">
        <v>46727</v>
      </c>
      <c r="G165" s="2" t="inlineStr">
        <is>
          <t>قيد التنفيذ</t>
        </is>
      </c>
      <c r="H165" s="4" t="n">
        <v>0.25</v>
      </c>
    </row>
    <row r="166">
      <c r="A166" s="2" t="inlineStr">
        <is>
          <t>TSK-0165</t>
        </is>
      </c>
      <c r="B166" s="2" t="inlineStr">
        <is>
          <t>الشؤون التنفيذية</t>
        </is>
      </c>
      <c r="C166" s="2" t="inlineStr">
        <is>
          <t>موظف تجريبي ب</t>
        </is>
      </c>
      <c r="D166" s="2" t="inlineStr">
        <is>
          <t>مراجعة مسودة إجراء</t>
        </is>
      </c>
      <c r="E166" s="2" t="inlineStr">
        <is>
          <t>ديسمبر</t>
        </is>
      </c>
      <c r="F166" s="3" t="n">
        <v>46744</v>
      </c>
      <c r="G166" s="2" t="inlineStr">
        <is>
          <t>قيد التنفيذ</t>
        </is>
      </c>
      <c r="H166" s="4" t="n">
        <v>0.4</v>
      </c>
    </row>
    <row r="167">
      <c r="A167" s="2" t="inlineStr">
        <is>
          <t>TSK-0166</t>
        </is>
      </c>
      <c r="B167" s="2" t="inlineStr">
        <is>
          <t>العمليات</t>
        </is>
      </c>
      <c r="C167" s="2" t="inlineStr">
        <is>
          <t>موظف تجريبي ج</t>
        </is>
      </c>
      <c r="D167" s="2" t="inlineStr">
        <is>
          <t>متابعة طلب شراء</t>
        </is>
      </c>
      <c r="E167" s="2" t="inlineStr">
        <is>
          <t>ديسمبر</t>
        </is>
      </c>
      <c r="F167" s="3" t="n">
        <v>46738</v>
      </c>
      <c r="G167" s="2" t="inlineStr">
        <is>
          <t>مكتمل</t>
        </is>
      </c>
      <c r="H167" s="4" t="n">
        <v>1</v>
      </c>
    </row>
    <row r="168">
      <c r="A168" s="2" t="inlineStr">
        <is>
          <t>TSK-0167</t>
        </is>
      </c>
      <c r="B168" s="2" t="inlineStr">
        <is>
          <t>العمليات</t>
        </is>
      </c>
      <c r="C168" s="2" t="inlineStr">
        <is>
          <t>موظف تجريبي د</t>
        </is>
      </c>
      <c r="D168" s="2" t="inlineStr">
        <is>
          <t>مراجعة مسودة إجراء</t>
        </is>
      </c>
      <c r="E168" s="2" t="inlineStr">
        <is>
          <t>ديسمبر</t>
        </is>
      </c>
      <c r="F168" s="3" t="n">
        <v>46726</v>
      </c>
      <c r="G168" s="2" t="inlineStr">
        <is>
          <t>قيد التنفيذ</t>
        </is>
      </c>
      <c r="H168" s="4" t="n">
        <v>0.7</v>
      </c>
    </row>
    <row r="169">
      <c r="A169" s="2" t="inlineStr">
        <is>
          <t>TSK-0168</t>
        </is>
      </c>
      <c r="B169" s="2" t="inlineStr">
        <is>
          <t>العمليات</t>
        </is>
      </c>
      <c r="C169" s="2" t="inlineStr">
        <is>
          <t>موظف تجريبي هـ</t>
        </is>
      </c>
      <c r="D169" s="2" t="inlineStr">
        <is>
          <t>إعداد تقرير شهري</t>
        </is>
      </c>
      <c r="E169" s="2" t="inlineStr">
        <is>
          <t>ديسمبر</t>
        </is>
      </c>
      <c r="F169" s="3" t="n">
        <v>46732</v>
      </c>
      <c r="G169" s="2" t="inlineStr">
        <is>
          <t>مكتمل</t>
        </is>
      </c>
      <c r="H169" s="4" t="n">
        <v>1</v>
      </c>
    </row>
    <row r="170">
      <c r="A170" s="2" t="inlineStr">
        <is>
          <t>TSK-0169</t>
        </is>
      </c>
      <c r="B170" s="2" t="inlineStr">
        <is>
          <t>الاتصال المؤسسي</t>
        </is>
      </c>
      <c r="C170" s="2" t="inlineStr">
        <is>
          <t>موظف تجريبي و</t>
        </is>
      </c>
      <c r="D170" s="2" t="inlineStr">
        <is>
          <t>إعداد تقرير شهري</t>
        </is>
      </c>
      <c r="E170" s="2" t="inlineStr">
        <is>
          <t>ديسمبر</t>
        </is>
      </c>
      <c r="F170" s="3" t="n">
        <v>46747</v>
      </c>
      <c r="G170" s="2" t="inlineStr">
        <is>
          <t>مكتمل</t>
        </is>
      </c>
      <c r="H170" s="4" t="n">
        <v>1</v>
      </c>
    </row>
    <row r="171">
      <c r="A171" s="2" t="inlineStr">
        <is>
          <t>TSK-0170</t>
        </is>
      </c>
      <c r="B171" s="2" t="inlineStr">
        <is>
          <t>الاتصال المؤسسي</t>
        </is>
      </c>
      <c r="C171" s="2" t="inlineStr">
        <is>
          <t>موظف تجريبي ز</t>
        </is>
      </c>
      <c r="D171" s="2" t="inlineStr">
        <is>
          <t>إعداد تقرير شهري</t>
        </is>
      </c>
      <c r="E171" s="2" t="inlineStr">
        <is>
          <t>ديسمبر</t>
        </is>
      </c>
      <c r="F171" s="3" t="n">
        <v>46748</v>
      </c>
      <c r="G171" s="2" t="inlineStr">
        <is>
          <t>مكتمل</t>
        </is>
      </c>
      <c r="H171" s="4" t="n">
        <v>1</v>
      </c>
    </row>
    <row r="172">
      <c r="A172" s="2" t="inlineStr">
        <is>
          <t>TSK-0171</t>
        </is>
      </c>
      <c r="B172" s="2" t="inlineStr">
        <is>
          <t>المشتريات</t>
        </is>
      </c>
      <c r="C172" s="2" t="inlineStr">
        <is>
          <t>موظف تجريبي ح</t>
        </is>
      </c>
      <c r="D172" s="2" t="inlineStr">
        <is>
          <t>تجهيز مواد اجتماع</t>
        </is>
      </c>
      <c r="E172" s="2" t="inlineStr">
        <is>
          <t>ديسمبر</t>
        </is>
      </c>
      <c r="F172" s="3" t="n">
        <v>46746</v>
      </c>
      <c r="G172" s="2" t="inlineStr">
        <is>
          <t>مكتمل</t>
        </is>
      </c>
      <c r="H172" s="4" t="n">
        <v>1</v>
      </c>
    </row>
    <row r="173">
      <c r="A173" s="2" t="inlineStr">
        <is>
          <t>TSK-0172</t>
        </is>
      </c>
      <c r="B173" s="2" t="inlineStr">
        <is>
          <t>المشتريات</t>
        </is>
      </c>
      <c r="C173" s="2" t="inlineStr">
        <is>
          <t>موظف تجريبي ح</t>
        </is>
      </c>
      <c r="D173" s="2" t="inlineStr">
        <is>
          <t>إعداد تقرير شهري</t>
        </is>
      </c>
      <c r="E173" s="2" t="inlineStr">
        <is>
          <t>ديسمبر</t>
        </is>
      </c>
      <c r="F173" s="3" t="n">
        <v>46736</v>
      </c>
      <c r="G173" s="2" t="inlineStr">
        <is>
          <t>مكتمل</t>
        </is>
      </c>
      <c r="H173" s="4" t="n">
        <v>1</v>
      </c>
    </row>
    <row r="174">
      <c r="A174" s="2" t="inlineStr">
        <is>
          <t>TSK-0173</t>
        </is>
      </c>
      <c r="B174" s="2" t="inlineStr">
        <is>
          <t>المشتريات</t>
        </is>
      </c>
      <c r="C174" s="2" t="inlineStr">
        <is>
          <t>موظف تجريبي ط</t>
        </is>
      </c>
      <c r="D174" s="2" t="inlineStr">
        <is>
          <t>مراجعة مسودة إجراء</t>
        </is>
      </c>
      <c r="E174" s="2" t="inlineStr">
        <is>
          <t>ديسمبر</t>
        </is>
      </c>
      <c r="F174" s="3" t="n">
        <v>46724</v>
      </c>
      <c r="G174" s="2" t="inlineStr">
        <is>
          <t>متأخر</t>
        </is>
      </c>
      <c r="H174" s="4" t="n">
        <v>0.2</v>
      </c>
    </row>
    <row r="175">
      <c r="A175" s="2" t="inlineStr">
        <is>
          <t>TSK-0174</t>
        </is>
      </c>
      <c r="B175" s="2" t="inlineStr">
        <is>
          <t>الموارد البشرية</t>
        </is>
      </c>
      <c r="C175" s="2" t="inlineStr">
        <is>
          <t>موظف تجريبي ي</t>
        </is>
      </c>
      <c r="D175" s="2" t="inlineStr">
        <is>
          <t>أرشفة المراسلات</t>
        </is>
      </c>
      <c r="E175" s="2" t="inlineStr">
        <is>
          <t>ديسمبر</t>
        </is>
      </c>
      <c r="F175" s="3" t="n">
        <v>46744</v>
      </c>
      <c r="G175" s="2" t="inlineStr">
        <is>
          <t>قيد التنفيذ</t>
        </is>
      </c>
      <c r="H175" s="4" t="n">
        <v>0.55</v>
      </c>
    </row>
    <row r="176">
      <c r="A176" s="2" t="inlineStr">
        <is>
          <t>TSK-0175</t>
        </is>
      </c>
      <c r="B176" s="2" t="inlineStr">
        <is>
          <t>الموارد البشرية</t>
        </is>
      </c>
      <c r="C176" s="2" t="inlineStr">
        <is>
          <t>موظف تجريبي ك</t>
        </is>
      </c>
      <c r="D176" s="2" t="inlineStr">
        <is>
          <t>أرشفة المراسلات</t>
        </is>
      </c>
      <c r="E176" s="2" t="inlineStr">
        <is>
          <t>ديسمبر</t>
        </is>
      </c>
      <c r="F176" s="3" t="n">
        <v>46731</v>
      </c>
      <c r="G176" s="2" t="inlineStr">
        <is>
          <t>قيد التنفيذ</t>
        </is>
      </c>
      <c r="H176" s="4" t="n">
        <v>0.85</v>
      </c>
    </row>
  </sheetData>
  <autoFilter ref="A1:H176"/>
  <conditionalFormatting sqref="G2:G176">
    <cfRule type="cellIs" priority="1" operator="equal" dxfId="0">
      <formula>"متأخر"</formula>
    </cfRule>
    <cfRule type="cellIs" priority="2" operator="equal" dxfId="1">
      <formula>"مكتمل"</formula>
    </cfRule>
    <cfRule type="cellIs" priority="3" operator="equal" dxfId="2">
      <formula>"قيد التنفيذ"</formula>
    </cfRule>
  </conditionalFormatting>
  <conditionalFormatting sqref="H2:H176">
    <cfRule type="dataBar" priority="4">
      <dataBar>
        <cfvo type="num" val="0"/>
        <cfvo type="num" val="1"/>
        <color rgb="002A7A69"/>
      </dataBar>
    </cfRule>
  </conditionalFormatting>
  <dataValidations count="2">
    <dataValidation sqref="G2:G476" showDropDown="0" showInputMessage="0" showErrorMessage="0" allowBlank="0" type="list">
      <formula1>"مكتمل,قيد التنفيذ,متأخر"</formula1>
    </dataValidation>
    <dataValidation sqref="B2:B476" showDropDown="0" showInputMessage="0" showErrorMessage="0" allowBlank="0" type="list">
      <formula1>"الشؤون التنفيذية,العمليات,الاتصال المؤسسي,المشتريات,الموارد البشرية"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3" customWidth="1" min="4" max="4"/>
    <col width="14" customWidth="1" min="5" max="5"/>
    <col width="12" customWidth="1" min="6" max="6"/>
    <col width="14" customWidth="1" min="7" max="7"/>
    <col width="3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2">
      <c r="B2" s="5" t="inlineStr">
        <is>
          <t>متابعة المهام الشهرية — نموذج تجريبي</t>
        </is>
      </c>
    </row>
    <row r="3">
      <c r="B3" s="6" t="inlineStr">
        <is>
          <t>إعداد: نجلاء العتيبي · جميع البيانات في هذا الملف وهمية بالكامل ولا تمثل أي جهة عمل.</t>
        </is>
      </c>
    </row>
    <row r="5">
      <c r="B5" s="7" t="inlineStr">
        <is>
          <t>إجمالي المهام</t>
        </is>
      </c>
      <c r="C5" s="8" t="n"/>
      <c r="D5" s="7" t="inlineStr">
        <is>
          <t>المكتملة</t>
        </is>
      </c>
      <c r="E5" s="8" t="n"/>
      <c r="F5" s="7" t="inlineStr">
        <is>
          <t>قيد التنفيذ</t>
        </is>
      </c>
      <c r="G5" s="8" t="n"/>
      <c r="H5" s="7" t="inlineStr">
        <is>
          <t>المتأخرة</t>
        </is>
      </c>
      <c r="I5" s="8" t="n"/>
      <c r="J5" s="7" t="inlineStr">
        <is>
          <t>نسبة الإنجاز</t>
        </is>
      </c>
      <c r="K5" s="8" t="n"/>
    </row>
    <row r="6">
      <c r="B6" s="9">
        <f>COUNTA('بيانات المهام'!A2:A176)</f>
        <v/>
      </c>
      <c r="C6" s="8" t="n"/>
      <c r="D6" s="9">
        <f>COUNTIF('بيانات المهام'!G2:G176,"مكتمل")</f>
        <v/>
      </c>
      <c r="E6" s="8" t="n"/>
      <c r="F6" s="9">
        <f>COUNTIF('بيانات المهام'!G2:G176,"قيد التنفيذ")</f>
        <v/>
      </c>
      <c r="G6" s="8" t="n"/>
      <c r="H6" s="9">
        <f>COUNTIF('بيانات المهام'!G2:G176,"متأخر")</f>
        <v/>
      </c>
      <c r="I6" s="8" t="n"/>
      <c r="J6" s="10">
        <f>COUNTIF('بيانات المهام'!G2:G176,"مكتمل")/COUNTA('بيانات المهام'!A2:A176)</f>
        <v/>
      </c>
      <c r="K6" s="8" t="n"/>
    </row>
    <row r="9">
      <c r="B9" s="11" t="inlineStr">
        <is>
          <t>الإنجاز حسب الإدارة</t>
        </is>
      </c>
    </row>
    <row r="10">
      <c r="B10" s="12" t="inlineStr">
        <is>
          <t>الإدارة</t>
        </is>
      </c>
      <c r="C10" s="12" t="inlineStr">
        <is>
          <t>إجمالي المهام</t>
        </is>
      </c>
      <c r="D10" s="12" t="inlineStr">
        <is>
          <t>مكتمل</t>
        </is>
      </c>
      <c r="E10" s="12" t="inlineStr">
        <is>
          <t>قيد التنفيذ</t>
        </is>
      </c>
      <c r="F10" s="12" t="inlineStr">
        <is>
          <t>متأخر</t>
        </is>
      </c>
      <c r="G10" s="12" t="inlineStr">
        <is>
          <t>نسبة الإنجاز</t>
        </is>
      </c>
      <c r="K10" s="13" t="inlineStr">
        <is>
          <t>مكتمل</t>
        </is>
      </c>
      <c r="L10" s="13">
        <f>COUNTIF('بيانات المهام'!G2:G176,"مكتمل")</f>
        <v/>
      </c>
    </row>
    <row r="11">
      <c r="B11" s="14" t="inlineStr">
        <is>
          <t>الشؤون التنفيذية</t>
        </is>
      </c>
      <c r="C11" s="15">
        <f>COUNTIF('بيانات المهام'!B2:B176,$B11)</f>
        <v/>
      </c>
      <c r="D11" s="15">
        <f>COUNTIFS('بيانات المهام'!B2:B176,$B11,'بيانات المهام'!G2:G176,"مكتمل")</f>
        <v/>
      </c>
      <c r="E11" s="15">
        <f>COUNTIFS('بيانات المهام'!B2:B176,$B11,'بيانات المهام'!G2:G176,"قيد التنفيذ")</f>
        <v/>
      </c>
      <c r="F11" s="15">
        <f>COUNTIFS('بيانات المهام'!B2:B176,$B11,'بيانات المهام'!G2:G176,"متأخر")</f>
        <v/>
      </c>
      <c r="G11" s="16">
        <f>IF($C11=0,0,$D11/$C11)</f>
        <v/>
      </c>
      <c r="K11" s="13" t="inlineStr">
        <is>
          <t>قيد التنفيذ</t>
        </is>
      </c>
      <c r="L11" s="13">
        <f>COUNTIF('بيانات المهام'!G2:G176,"قيد التنفيذ")</f>
        <v/>
      </c>
    </row>
    <row r="12">
      <c r="B12" s="14" t="inlineStr">
        <is>
          <t>العمليات</t>
        </is>
      </c>
      <c r="C12" s="15">
        <f>COUNTIF('بيانات المهام'!B2:B176,$B12)</f>
        <v/>
      </c>
      <c r="D12" s="15">
        <f>COUNTIFS('بيانات المهام'!B2:B176,$B12,'بيانات المهام'!G2:G176,"مكتمل")</f>
        <v/>
      </c>
      <c r="E12" s="15">
        <f>COUNTIFS('بيانات المهام'!B2:B176,$B12,'بيانات المهام'!G2:G176,"قيد التنفيذ")</f>
        <v/>
      </c>
      <c r="F12" s="15">
        <f>COUNTIFS('بيانات المهام'!B2:B176,$B12,'بيانات المهام'!G2:G176,"متأخر")</f>
        <v/>
      </c>
      <c r="G12" s="16">
        <f>IF($C12=0,0,$D12/$C12)</f>
        <v/>
      </c>
      <c r="K12" s="13" t="inlineStr">
        <is>
          <t>متأخر</t>
        </is>
      </c>
      <c r="L12" s="13">
        <f>COUNTIF('بيانات المهام'!G2:G176,"متأخر")</f>
        <v/>
      </c>
    </row>
    <row r="13">
      <c r="B13" s="14" t="inlineStr">
        <is>
          <t>الاتصال المؤسسي</t>
        </is>
      </c>
      <c r="C13" s="15">
        <f>COUNTIF('بيانات المهام'!B2:B176,$B13)</f>
        <v/>
      </c>
      <c r="D13" s="15">
        <f>COUNTIFS('بيانات المهام'!B2:B176,$B13,'بيانات المهام'!G2:G176,"مكتمل")</f>
        <v/>
      </c>
      <c r="E13" s="15">
        <f>COUNTIFS('بيانات المهام'!B2:B176,$B13,'بيانات المهام'!G2:G176,"قيد التنفيذ")</f>
        <v/>
      </c>
      <c r="F13" s="15">
        <f>COUNTIFS('بيانات المهام'!B2:B176,$B13,'بيانات المهام'!G2:G176,"متأخر")</f>
        <v/>
      </c>
      <c r="G13" s="16">
        <f>IF($C13=0,0,$D13/$C13)</f>
        <v/>
      </c>
    </row>
    <row r="14">
      <c r="B14" s="14" t="inlineStr">
        <is>
          <t>المشتريات</t>
        </is>
      </c>
      <c r="C14" s="15">
        <f>COUNTIF('بيانات المهام'!B2:B176,$B14)</f>
        <v/>
      </c>
      <c r="D14" s="15">
        <f>COUNTIFS('بيانات المهام'!B2:B176,$B14,'بيانات المهام'!G2:G176,"مكتمل")</f>
        <v/>
      </c>
      <c r="E14" s="15">
        <f>COUNTIFS('بيانات المهام'!B2:B176,$B14,'بيانات المهام'!G2:G176,"قيد التنفيذ")</f>
        <v/>
      </c>
      <c r="F14" s="15">
        <f>COUNTIFS('بيانات المهام'!B2:B176,$B14,'بيانات المهام'!G2:G176,"متأخر")</f>
        <v/>
      </c>
      <c r="G14" s="16">
        <f>IF($C14=0,0,$D14/$C14)</f>
        <v/>
      </c>
    </row>
    <row r="15">
      <c r="B15" s="14" t="inlineStr">
        <is>
          <t>الموارد البشرية</t>
        </is>
      </c>
      <c r="C15" s="15">
        <f>COUNTIF('بيانات المهام'!B2:B176,$B15)</f>
        <v/>
      </c>
      <c r="D15" s="15">
        <f>COUNTIFS('بيانات المهام'!B2:B176,$B15,'بيانات المهام'!G2:G176,"مكتمل")</f>
        <v/>
      </c>
      <c r="E15" s="15">
        <f>COUNTIFS('بيانات المهام'!B2:B176,$B15,'بيانات المهام'!G2:G176,"قيد التنفيذ")</f>
        <v/>
      </c>
      <c r="F15" s="15">
        <f>COUNTIFS('بيانات المهام'!B2:B176,$B15,'بيانات المهام'!G2:G176,"متأخر")</f>
        <v/>
      </c>
      <c r="G15" s="16">
        <f>IF($C15=0,0,$D15/$C15)</f>
        <v/>
      </c>
    </row>
    <row r="18">
      <c r="B18" s="11" t="inlineStr">
        <is>
          <t>الإنجاز حسب الشهر</t>
        </is>
      </c>
    </row>
    <row r="19">
      <c r="B19" s="12" t="inlineStr">
        <is>
          <t>الشهر</t>
        </is>
      </c>
      <c r="C19" s="12" t="inlineStr">
        <is>
          <t>إجمالي المهام</t>
        </is>
      </c>
      <c r="D19" s="12" t="inlineStr">
        <is>
          <t>مكتمل</t>
        </is>
      </c>
      <c r="E19" s="12" t="inlineStr">
        <is>
          <t>نسبة الإنجاز</t>
        </is>
      </c>
    </row>
    <row r="20">
      <c r="B20" s="14" t="inlineStr">
        <is>
          <t>يناير</t>
        </is>
      </c>
      <c r="C20" s="15">
        <f>COUNTIF('بيانات المهام'!E2:E176,$B20)</f>
        <v/>
      </c>
      <c r="D20" s="15">
        <f>COUNTIFS('بيانات المهام'!E2:E176,$B20,'بيانات المهام'!G2:G176,"مكتمل")</f>
        <v/>
      </c>
      <c r="E20" s="16">
        <f>IF($C20=0,0,$D20/$C20)</f>
        <v/>
      </c>
    </row>
    <row r="21">
      <c r="B21" s="14" t="inlineStr">
        <is>
          <t>فبراير</t>
        </is>
      </c>
      <c r="C21" s="15">
        <f>COUNTIF('بيانات المهام'!E2:E176,$B21)</f>
        <v/>
      </c>
      <c r="D21" s="15">
        <f>COUNTIFS('بيانات المهام'!E2:E176,$B21,'بيانات المهام'!G2:G176,"مكتمل")</f>
        <v/>
      </c>
      <c r="E21" s="16">
        <f>IF($C21=0,0,$D21/$C21)</f>
        <v/>
      </c>
    </row>
    <row r="22">
      <c r="B22" s="14" t="inlineStr">
        <is>
          <t>مارس</t>
        </is>
      </c>
      <c r="C22" s="15">
        <f>COUNTIF('بيانات المهام'!E2:E176,$B22)</f>
        <v/>
      </c>
      <c r="D22" s="15">
        <f>COUNTIFS('بيانات المهام'!E2:E176,$B22,'بيانات المهام'!G2:G176,"مكتمل")</f>
        <v/>
      </c>
      <c r="E22" s="16">
        <f>IF($C22=0,0,$D22/$C22)</f>
        <v/>
      </c>
    </row>
    <row r="23">
      <c r="B23" s="14" t="inlineStr">
        <is>
          <t>أبريل</t>
        </is>
      </c>
      <c r="C23" s="15">
        <f>COUNTIF('بيانات المهام'!E2:E176,$B23)</f>
        <v/>
      </c>
      <c r="D23" s="15">
        <f>COUNTIFS('بيانات المهام'!E2:E176,$B23,'بيانات المهام'!G2:G176,"مكتمل")</f>
        <v/>
      </c>
      <c r="E23" s="16">
        <f>IF($C23=0,0,$D23/$C23)</f>
        <v/>
      </c>
    </row>
    <row r="24">
      <c r="B24" s="14" t="inlineStr">
        <is>
          <t>مايو</t>
        </is>
      </c>
      <c r="C24" s="15">
        <f>COUNTIF('بيانات المهام'!E2:E176,$B24)</f>
        <v/>
      </c>
      <c r="D24" s="15">
        <f>COUNTIFS('بيانات المهام'!E2:E176,$B24,'بيانات المهام'!G2:G176,"مكتمل")</f>
        <v/>
      </c>
      <c r="E24" s="16">
        <f>IF($C24=0,0,$D24/$C24)</f>
        <v/>
      </c>
    </row>
    <row r="25">
      <c r="B25" s="14" t="inlineStr">
        <is>
          <t>يونيو</t>
        </is>
      </c>
      <c r="C25" s="15">
        <f>COUNTIF('بيانات المهام'!E2:E176,$B25)</f>
        <v/>
      </c>
      <c r="D25" s="15">
        <f>COUNTIFS('بيانات المهام'!E2:E176,$B25,'بيانات المهام'!G2:G176,"مكتمل")</f>
        <v/>
      </c>
      <c r="E25" s="16">
        <f>IF($C25=0,0,$D25/$C25)</f>
        <v/>
      </c>
    </row>
    <row r="26">
      <c r="B26" s="14" t="inlineStr">
        <is>
          <t>يوليو</t>
        </is>
      </c>
      <c r="C26" s="15">
        <f>COUNTIF('بيانات المهام'!E2:E176,$B26)</f>
        <v/>
      </c>
      <c r="D26" s="15">
        <f>COUNTIFS('بيانات المهام'!E2:E176,$B26,'بيانات المهام'!G2:G176,"مكتمل")</f>
        <v/>
      </c>
      <c r="E26" s="16">
        <f>IF($C26=0,0,$D26/$C26)</f>
        <v/>
      </c>
    </row>
    <row r="27">
      <c r="B27" s="14" t="inlineStr">
        <is>
          <t>أغسطس</t>
        </is>
      </c>
      <c r="C27" s="15">
        <f>COUNTIF('بيانات المهام'!E2:E176,$B27)</f>
        <v/>
      </c>
      <c r="D27" s="15">
        <f>COUNTIFS('بيانات المهام'!E2:E176,$B27,'بيانات المهام'!G2:G176,"مكتمل")</f>
        <v/>
      </c>
      <c r="E27" s="16">
        <f>IF($C27=0,0,$D27/$C27)</f>
        <v/>
      </c>
    </row>
    <row r="28">
      <c r="B28" s="14" t="inlineStr">
        <is>
          <t>سبتمبر</t>
        </is>
      </c>
      <c r="C28" s="15">
        <f>COUNTIF('بيانات المهام'!E2:E176,$B28)</f>
        <v/>
      </c>
      <c r="D28" s="15">
        <f>COUNTIFS('بيانات المهام'!E2:E176,$B28,'بيانات المهام'!G2:G176,"مكتمل")</f>
        <v/>
      </c>
      <c r="E28" s="16">
        <f>IF($C28=0,0,$D28/$C28)</f>
        <v/>
      </c>
    </row>
    <row r="29">
      <c r="B29" s="14" t="inlineStr">
        <is>
          <t>أكتوبر</t>
        </is>
      </c>
      <c r="C29" s="15">
        <f>COUNTIF('بيانات المهام'!E2:E176,$B29)</f>
        <v/>
      </c>
      <c r="D29" s="15">
        <f>COUNTIFS('بيانات المهام'!E2:E176,$B29,'بيانات المهام'!G2:G176,"مكتمل")</f>
        <v/>
      </c>
      <c r="E29" s="16">
        <f>IF($C29=0,0,$D29/$C29)</f>
        <v/>
      </c>
    </row>
    <row r="30">
      <c r="B30" s="14" t="inlineStr">
        <is>
          <t>نوفمبر</t>
        </is>
      </c>
      <c r="C30" s="15">
        <f>COUNTIF('بيانات المهام'!E2:E176,$B30)</f>
        <v/>
      </c>
      <c r="D30" s="15">
        <f>COUNTIFS('بيانات المهام'!E2:E176,$B30,'بيانات المهام'!G2:G176,"مكتمل")</f>
        <v/>
      </c>
      <c r="E30" s="16">
        <f>IF($C30=0,0,$D30/$C30)</f>
        <v/>
      </c>
    </row>
    <row r="31">
      <c r="B31" s="14" t="inlineStr">
        <is>
          <t>ديسمبر</t>
        </is>
      </c>
      <c r="C31" s="15">
        <f>COUNTIF('بيانات المهام'!E2:E176,$B31)</f>
        <v/>
      </c>
      <c r="D31" s="15">
        <f>COUNTIFS('بيانات المهام'!E2:E176,$B31,'بيانات المهام'!G2:G176,"مكتمل")</f>
        <v/>
      </c>
      <c r="E31" s="16">
        <f>IF($C31=0,0,$D31/$C31)</f>
        <v/>
      </c>
    </row>
    <row r="34">
      <c r="B34" s="17" t="inlineStr">
        <is>
          <t>ملاحظة: هذا نموذج عرض. أُنجز النموذج الأصلي أثناء العمل، وأُعيدت صياغة هذه النسخة ببيانات غير حقيقية بالكامل لحماية سرية جهة العمل.</t>
        </is>
      </c>
    </row>
  </sheetData>
  <mergeCells count="10">
    <mergeCell ref="D6:E6"/>
    <mergeCell ref="B6:C6"/>
    <mergeCell ref="H6:I6"/>
    <mergeCell ref="J5:K5"/>
    <mergeCell ref="J6:K6"/>
    <mergeCell ref="B5:C5"/>
    <mergeCell ref="F5:G5"/>
    <mergeCell ref="D5:E5"/>
    <mergeCell ref="F6:G6"/>
    <mergeCell ref="H5:I5"/>
  </mergeCells>
  <conditionalFormatting sqref="G11:G15">
    <cfRule type="dataBar" priority="1">
      <dataBar>
        <cfvo type="num" val="0"/>
        <cfvo type="num" val="1"/>
        <color rgb="00D69A2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Najla AlOtaibi</dc:creator>
  <dc:title xmlns:dc="http://purl.org/dc/elements/1.1/">Monthly Task Tracker — Demonstration model</dc:title>
  <dc:description xmlns:dc="http://purl.org/dc/elements/1.1/">All data in this workbook is entirely fictional and does not represent any organization.</dc:description>
  <dc:subject xmlns:dc="http://purl.org/dc/elements/1.1/">Portfolio work sample</dc:subject>
  <dcterms:created xmlns:dcterms="http://purl.org/dc/terms/" xmlns:xsi="http://www.w3.org/2001/XMLSchema-instance" xsi:type="dcterms:W3CDTF">2026-10-03T11:07:15Z</dcterms:created>
  <dcterms:modified xmlns:dcterms="http://purl.org/dc/terms/" xmlns:xsi="http://www.w3.org/2001/XMLSchema-instance" xsi:type="dcterms:W3CDTF">2026-10-03T11:07:15Z</dcterms:modified>
  <cp:lastModifiedBy>Najla AlOtaibi</cp:lastModifiedBy>
  <cp:category>Work sample</cp:category>
  <cp:keywords>demo; fictional data; portfolio</cp:keywords>
</cp:coreProperties>
</file>